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0" windowWidth="13350" windowHeight="10320" tabRatio="580" activeTab="3"/>
  </bookViews>
  <sheets>
    <sheet name="действующие 2018" sheetId="1" r:id="rId1"/>
    <sheet name="действующие 2019" sheetId="6" r:id="rId2"/>
    <sheet name="действующие 2020" sheetId="9" r:id="rId3"/>
    <sheet name="действующие 2021" sheetId="10" r:id="rId4"/>
    <sheet name="архив" sheetId="4" r:id="rId5"/>
    <sheet name="все" sheetId="5" r:id="rId6"/>
    <sheet name="Шаблон" sheetId="8" r:id="rId7"/>
  </sheets>
  <definedNames>
    <definedName name="_xlnm._FilterDatabase" localSheetId="4" hidden="1">архив!$E$2:$E$27</definedName>
    <definedName name="_xlnm._FilterDatabase" localSheetId="5" hidden="1">все!$E$2:$E$27</definedName>
    <definedName name="_xlnm._FilterDatabase" localSheetId="0" hidden="1">'действующие 2018'!$E$2:$E$14</definedName>
    <definedName name="_xlnm._FilterDatabase" localSheetId="1" hidden="1">'действующие 2019'!$E$3:$E$11</definedName>
    <definedName name="_xlnm._FilterDatabase" localSheetId="2" hidden="1">'действующие 2020'!$F$3:$F$11</definedName>
    <definedName name="_xlnm._FilterDatabase" localSheetId="3" hidden="1">'действующие 2021'!$F$3:$F$11</definedName>
    <definedName name="_xlnm._FilterDatabase" localSheetId="6" hidden="1">Шаблон!$E$3:$E$11</definedName>
    <definedName name="_xlnm.Print_Area" localSheetId="1">'действующие 2019'!$A$1:$AA$148</definedName>
    <definedName name="_xlnm.Print_Area" localSheetId="2">'действующие 2020'!$A$1:$AH$167</definedName>
    <definedName name="_xlnm.Print_Area" localSheetId="3">'действующие 2021'!$A$1:$AH$167</definedName>
    <definedName name="ЦветЯчейки">GET.CELL(63,INDIRECT("RC[-1]",0))</definedName>
  </definedNames>
  <calcPr calcId="162913"/>
</workbook>
</file>

<file path=xl/calcChain.xml><?xml version="1.0" encoding="utf-8"?>
<calcChain xmlns="http://schemas.openxmlformats.org/spreadsheetml/2006/main">
  <c r="AE174" i="10" l="1"/>
  <c r="J167" i="10"/>
  <c r="I167" i="10"/>
  <c r="H167" i="10"/>
  <c r="AF110" i="10"/>
  <c r="AF157" i="10"/>
  <c r="U167" i="10"/>
  <c r="AF111" i="10"/>
  <c r="AF5" i="10"/>
  <c r="AF44" i="10"/>
  <c r="AF51" i="10"/>
  <c r="AF13" i="10"/>
  <c r="AF82" i="10"/>
  <c r="AF67" i="10"/>
  <c r="AF106" i="10"/>
  <c r="AF41" i="10"/>
  <c r="AF46" i="10"/>
  <c r="AF97" i="10"/>
  <c r="AF115" i="10"/>
  <c r="AF98" i="10"/>
  <c r="AF9" i="10"/>
  <c r="AF35" i="10"/>
  <c r="AF69" i="10"/>
  <c r="AF139" i="10"/>
  <c r="AA167" i="10"/>
  <c r="AF66" i="10"/>
  <c r="AA165" i="10"/>
  <c r="AF17" i="10"/>
  <c r="AF127" i="10"/>
  <c r="AF4" i="10"/>
  <c r="AF160" i="10"/>
  <c r="AF21" i="10"/>
  <c r="AF132" i="10"/>
  <c r="AF102" i="10"/>
  <c r="AF78" i="10"/>
  <c r="AF49" i="10"/>
  <c r="AF42" i="10"/>
  <c r="AF39" i="10"/>
  <c r="AF76" i="10"/>
  <c r="AF103" i="10"/>
  <c r="AF117" i="10"/>
  <c r="O165" i="10"/>
  <c r="AF112" i="10"/>
  <c r="AF120" i="10"/>
  <c r="AF133" i="10"/>
  <c r="AF31" i="10"/>
  <c r="AF80" i="10"/>
  <c r="AF20" i="10"/>
  <c r="AF64" i="10"/>
  <c r="AF105" i="10"/>
  <c r="AF6" i="10"/>
  <c r="AF57" i="10"/>
  <c r="AF59" i="10"/>
  <c r="AF55" i="10"/>
  <c r="AF12" i="10"/>
  <c r="AF143" i="10"/>
  <c r="AF36" i="10"/>
  <c r="AF34" i="10"/>
  <c r="AF129" i="10"/>
  <c r="AF22" i="10"/>
  <c r="AF61" i="10"/>
  <c r="AF27" i="10"/>
  <c r="AF15" i="10"/>
  <c r="AF122" i="10"/>
  <c r="AF164" i="10"/>
  <c r="AF154" i="10"/>
  <c r="AF10" i="10"/>
  <c r="AF162" i="10"/>
  <c r="AF153" i="10"/>
  <c r="AF142" i="10"/>
  <c r="AF16" i="10"/>
  <c r="AF26" i="10"/>
  <c r="AF151" i="10"/>
  <c r="AF104" i="10"/>
  <c r="AF19" i="10"/>
  <c r="AF73" i="10"/>
  <c r="U166" i="10"/>
  <c r="AF94" i="10"/>
  <c r="AF37" i="10"/>
  <c r="AF7" i="10"/>
  <c r="AF166" i="10"/>
  <c r="AF65" i="10"/>
  <c r="AF90" i="10"/>
  <c r="AF131" i="10"/>
  <c r="AF86" i="10"/>
  <c r="O167" i="10"/>
  <c r="AF60" i="10"/>
  <c r="AF63" i="10"/>
  <c r="AF130" i="10"/>
  <c r="AF28" i="10"/>
  <c r="AF8" i="10"/>
  <c r="AF147" i="10"/>
  <c r="AF43" i="10"/>
  <c r="AF48" i="10"/>
  <c r="AF85" i="10"/>
  <c r="AF70" i="10"/>
  <c r="AF71" i="10"/>
  <c r="AF83" i="10"/>
  <c r="AF135" i="10"/>
  <c r="AF23" i="10"/>
  <c r="AF141" i="10"/>
  <c r="AF152" i="10"/>
  <c r="AF134" i="10"/>
  <c r="AF58" i="10"/>
  <c r="AF116" i="10"/>
  <c r="AF47" i="10"/>
  <c r="AF167" i="10"/>
  <c r="AF156" i="10"/>
  <c r="AF38" i="10"/>
  <c r="AF136" i="10"/>
  <c r="AF113" i="10"/>
  <c r="AF126" i="10"/>
  <c r="AF95" i="10"/>
  <c r="AF75" i="10"/>
  <c r="AF99" i="10"/>
  <c r="AF159" i="10"/>
  <c r="AF72" i="10"/>
  <c r="AF165" i="10"/>
  <c r="AF33" i="10"/>
  <c r="AF118" i="10"/>
  <c r="AF121" i="10"/>
  <c r="AF128" i="10"/>
  <c r="AF24" i="10"/>
  <c r="AF53" i="10"/>
  <c r="AF89" i="10"/>
  <c r="AF18" i="10"/>
  <c r="AF81" i="10"/>
  <c r="AF52" i="10"/>
  <c r="AF11" i="10"/>
  <c r="AF119" i="10"/>
  <c r="AF92" i="10"/>
  <c r="AF123" i="10"/>
  <c r="AF137" i="10"/>
  <c r="AF150" i="10"/>
  <c r="AF138" i="10"/>
  <c r="AF25" i="10"/>
  <c r="AF77" i="10"/>
  <c r="AF87" i="10"/>
  <c r="AF56" i="10"/>
  <c r="AF14" i="10"/>
  <c r="AF163" i="10"/>
  <c r="AF93" i="10"/>
  <c r="U165" i="10"/>
  <c r="AF91" i="10"/>
  <c r="AF79" i="10"/>
  <c r="AF101" i="10"/>
  <c r="AF30" i="10"/>
  <c r="AF114" i="10"/>
  <c r="AF124" i="10"/>
  <c r="AF161" i="10"/>
  <c r="AF50" i="10"/>
  <c r="AF45" i="10"/>
  <c r="AF84" i="10"/>
  <c r="AF149" i="10"/>
  <c r="AF3" i="10"/>
  <c r="AF96" i="10"/>
  <c r="AF40" i="10"/>
  <c r="AA166" i="10"/>
  <c r="AF125" i="10"/>
  <c r="AF54" i="10"/>
  <c r="AF62" i="10"/>
  <c r="O166" i="10"/>
  <c r="AF100" i="10"/>
  <c r="AF32" i="10"/>
  <c r="AF88" i="10"/>
  <c r="AF29" i="10"/>
  <c r="AF158" i="10"/>
  <c r="AF140" i="10"/>
  <c r="AF148" i="10"/>
  <c r="AF68" i="10"/>
  <c r="J175" i="10" l="1"/>
  <c r="AE173" i="10"/>
  <c r="AE172" i="10"/>
  <c r="N174" i="10"/>
  <c r="N173" i="10"/>
  <c r="N172" i="10"/>
  <c r="T174" i="10"/>
  <c r="T173" i="10"/>
  <c r="T172" i="10"/>
  <c r="Z174" i="10"/>
  <c r="Z173" i="10"/>
  <c r="Z172" i="10"/>
  <c r="U149" i="6"/>
  <c r="J179" i="10" l="1"/>
  <c r="F171" i="10"/>
  <c r="Y149" i="6"/>
  <c r="Y150" i="6"/>
  <c r="U74" i="9"/>
  <c r="AF74" i="9"/>
  <c r="AA74" i="9"/>
  <c r="T171" i="9" l="1"/>
  <c r="T170" i="9"/>
  <c r="AA162" i="9"/>
  <c r="AA156" i="9"/>
  <c r="N170" i="9" l="1"/>
  <c r="AE174" i="9"/>
  <c r="N171" i="9" l="1"/>
  <c r="Q149" i="6" l="1"/>
  <c r="J175" i="9" l="1"/>
  <c r="Q150" i="6" l="1"/>
  <c r="Y162" i="6" l="1"/>
  <c r="J167" i="9" l="1"/>
  <c r="I167" i="9"/>
  <c r="H167" i="9"/>
  <c r="M149" i="6" l="1"/>
  <c r="Q162" i="6" l="1"/>
  <c r="H153" i="6" l="1"/>
  <c r="U162" i="6" l="1"/>
  <c r="M162" i="6" l="1"/>
  <c r="I163" i="6" s="1"/>
  <c r="I172" i="6" s="1"/>
  <c r="I124" i="8" l="1"/>
  <c r="H124" i="8"/>
  <c r="G124" i="8"/>
  <c r="I148" i="6" l="1"/>
  <c r="H148" i="6" l="1"/>
  <c r="G148" i="6"/>
  <c r="H111" i="1" l="1"/>
  <c r="H68" i="5" l="1"/>
  <c r="H68" i="4"/>
  <c r="H116" i="1" l="1"/>
  <c r="G111" i="1"/>
  <c r="AF47" i="9"/>
  <c r="AA55" i="9"/>
  <c r="AF148" i="9"/>
  <c r="AA31" i="9"/>
  <c r="U45" i="9"/>
  <c r="AF106" i="9"/>
  <c r="AA3" i="9"/>
  <c r="AA81" i="9"/>
  <c r="AF136" i="9"/>
  <c r="U115" i="9"/>
  <c r="AF78" i="9"/>
  <c r="O94" i="9"/>
  <c r="AA11" i="9"/>
  <c r="O76" i="9"/>
  <c r="AF24" i="9"/>
  <c r="O22" i="9"/>
  <c r="AF43" i="9"/>
  <c r="AA119" i="9"/>
  <c r="AF82" i="9"/>
  <c r="AA94" i="9"/>
  <c r="O98" i="9"/>
  <c r="AF140" i="9"/>
  <c r="AF18" i="9"/>
  <c r="U53" i="9"/>
  <c r="AA70" i="9"/>
  <c r="AA107" i="9"/>
  <c r="O38" i="9"/>
  <c r="AA137" i="9"/>
  <c r="O106" i="9"/>
  <c r="AA16" i="9"/>
  <c r="AF17" i="9"/>
  <c r="AF143" i="9"/>
  <c r="O140" i="9"/>
  <c r="U16" i="9"/>
  <c r="U17" i="9"/>
  <c r="AF23" i="9"/>
  <c r="AF19" i="9"/>
  <c r="AF46" i="9"/>
  <c r="AA7" i="9"/>
  <c r="AA8" i="9"/>
  <c r="O29" i="9"/>
  <c r="U136" i="9"/>
  <c r="O156" i="9"/>
  <c r="O109" i="9"/>
  <c r="U42" i="9"/>
  <c r="AA46" i="9"/>
  <c r="AF131" i="9"/>
  <c r="U165" i="9"/>
  <c r="O90" i="9"/>
  <c r="AA77" i="9"/>
  <c r="O14" i="9"/>
  <c r="O54" i="9"/>
  <c r="U24" i="9"/>
  <c r="U11" i="9"/>
  <c r="O143" i="9"/>
  <c r="AF7" i="9"/>
  <c r="U28" i="9"/>
  <c r="U130" i="9"/>
  <c r="AF6" i="9"/>
  <c r="U26" i="9"/>
  <c r="O78" i="9"/>
  <c r="AA45" i="9"/>
  <c r="U35" i="9"/>
  <c r="AF107" i="9"/>
  <c r="O13" i="9"/>
  <c r="AF125" i="9"/>
  <c r="O30" i="9"/>
  <c r="AF115" i="9"/>
  <c r="AF149" i="9"/>
  <c r="AA148" i="9"/>
  <c r="U123" i="9"/>
  <c r="O139" i="9"/>
  <c r="AF110" i="9"/>
  <c r="U48" i="9"/>
  <c r="U3" i="9"/>
  <c r="AA42" i="9"/>
  <c r="U41" i="9"/>
  <c r="U90" i="9"/>
  <c r="AF83" i="9"/>
  <c r="U49" i="9"/>
  <c r="O150" i="9"/>
  <c r="O8" i="9"/>
  <c r="O11" i="9"/>
  <c r="AF80" i="9"/>
  <c r="AF157" i="9"/>
  <c r="O138" i="9"/>
  <c r="O82" i="9"/>
  <c r="O57" i="9"/>
  <c r="O20" i="9"/>
  <c r="O141" i="9"/>
  <c r="U104" i="9"/>
  <c r="U43" i="9"/>
  <c r="AA64" i="9"/>
  <c r="O50" i="9"/>
  <c r="AA38" i="9"/>
  <c r="O4" i="9"/>
  <c r="AF167" i="9"/>
  <c r="O97" i="9"/>
  <c r="AA91" i="9"/>
  <c r="U8" i="9"/>
  <c r="O149" i="9"/>
  <c r="AF38" i="9"/>
  <c r="U38" i="9"/>
  <c r="U76" i="9"/>
  <c r="U133" i="9"/>
  <c r="AF4" i="9"/>
  <c r="O134" i="9"/>
  <c r="U19" i="9"/>
  <c r="AA138" i="9"/>
  <c r="AF42" i="9"/>
  <c r="O122" i="9"/>
  <c r="AA90" i="9"/>
  <c r="O80" i="9"/>
  <c r="AA151" i="9"/>
  <c r="AA98" i="9"/>
  <c r="AA9" i="9"/>
  <c r="AF3" i="9"/>
  <c r="AF88" i="9"/>
  <c r="AF117" i="9"/>
  <c r="AA60" i="9"/>
  <c r="AA118" i="9"/>
  <c r="U36" i="9"/>
  <c r="O102" i="9"/>
  <c r="O117" i="9"/>
  <c r="AF128" i="9"/>
  <c r="AF144" i="9"/>
  <c r="O56" i="9"/>
  <c r="U102" i="9"/>
  <c r="O51" i="9"/>
  <c r="AF39" i="9"/>
  <c r="AF63" i="9"/>
  <c r="AA17" i="9"/>
  <c r="U148" i="9"/>
  <c r="O119" i="9"/>
  <c r="AF123" i="9"/>
  <c r="O35" i="9"/>
  <c r="U162" i="9"/>
  <c r="AF12" i="9"/>
  <c r="U99" i="9"/>
  <c r="AA131" i="9"/>
  <c r="O111" i="9"/>
  <c r="O52" i="9"/>
  <c r="O165" i="9"/>
  <c r="U25" i="9"/>
  <c r="AF159" i="9"/>
  <c r="AA68" i="9"/>
  <c r="AF25" i="9"/>
  <c r="AA66" i="9"/>
  <c r="U56" i="9"/>
  <c r="AA97" i="9"/>
  <c r="AF68" i="9"/>
  <c r="AA110" i="9"/>
  <c r="AA109" i="9"/>
  <c r="AF126" i="9"/>
  <c r="O126" i="9"/>
  <c r="AF40" i="9"/>
  <c r="AA51" i="9"/>
  <c r="AA82" i="9"/>
  <c r="O159" i="9"/>
  <c r="AA28" i="9"/>
  <c r="AA86" i="9"/>
  <c r="O133" i="9"/>
  <c r="AA53" i="9"/>
  <c r="AF71" i="9"/>
  <c r="AF109" i="9"/>
  <c r="AF21" i="9"/>
  <c r="AF137" i="9"/>
  <c r="AA122" i="9"/>
  <c r="U39" i="9"/>
  <c r="AF122" i="9"/>
  <c r="U71" i="9"/>
  <c r="AF91" i="9"/>
  <c r="AA95" i="9"/>
  <c r="U58" i="9"/>
  <c r="O77" i="9"/>
  <c r="AF135" i="9"/>
  <c r="U69" i="9"/>
  <c r="O116" i="9"/>
  <c r="AF153" i="9"/>
  <c r="AA134" i="9"/>
  <c r="AF56" i="9"/>
  <c r="O5" i="9"/>
  <c r="O142" i="9"/>
  <c r="AF9" i="9"/>
  <c r="U135" i="9"/>
  <c r="AF31" i="9"/>
  <c r="O70" i="9"/>
  <c r="AF41" i="9"/>
  <c r="O59" i="9"/>
  <c r="AA102" i="9"/>
  <c r="O87" i="9"/>
  <c r="U34" i="9"/>
  <c r="O89" i="9"/>
  <c r="O41" i="9"/>
  <c r="AA123" i="9"/>
  <c r="AF51" i="9"/>
  <c r="AA79" i="9"/>
  <c r="U151" i="9"/>
  <c r="AF29" i="9"/>
  <c r="AF11" i="9"/>
  <c r="O37" i="9"/>
  <c r="U82" i="9"/>
  <c r="AA54" i="9"/>
  <c r="AA139" i="9"/>
  <c r="AA26" i="9"/>
  <c r="U54" i="9"/>
  <c r="U131" i="9"/>
  <c r="AF66" i="9"/>
  <c r="U116" i="9"/>
  <c r="AA149" i="9"/>
  <c r="AA12" i="9"/>
  <c r="O105" i="9"/>
  <c r="AA140" i="9"/>
  <c r="U6" i="9"/>
  <c r="AA144" i="9"/>
  <c r="O6" i="9"/>
  <c r="U156" i="9"/>
  <c r="O127" i="9"/>
  <c r="AF100" i="9"/>
  <c r="AA117" i="9"/>
  <c r="O162" i="9"/>
  <c r="O36" i="9"/>
  <c r="AA20" i="9"/>
  <c r="AF161" i="9"/>
  <c r="O3" i="9"/>
  <c r="AA104" i="9"/>
  <c r="U29" i="9"/>
  <c r="O34" i="9"/>
  <c r="U70" i="9"/>
  <c r="AF26" i="9"/>
  <c r="O48" i="9"/>
  <c r="AA121" i="9"/>
  <c r="AA87" i="9"/>
  <c r="U137" i="9"/>
  <c r="AA161" i="9"/>
  <c r="AA167" i="9"/>
  <c r="AA136" i="9"/>
  <c r="AF133" i="9"/>
  <c r="AF36" i="9"/>
  <c r="AA35" i="9"/>
  <c r="U120" i="9"/>
  <c r="U77" i="9"/>
  <c r="AA27" i="9"/>
  <c r="AF16" i="9"/>
  <c r="AF52" i="9"/>
  <c r="AA25" i="9"/>
  <c r="U159" i="9"/>
  <c r="AF15" i="9"/>
  <c r="AA49" i="9"/>
  <c r="U85" i="9"/>
  <c r="AF93" i="9"/>
  <c r="U139" i="9"/>
  <c r="O24" i="9"/>
  <c r="O81" i="9"/>
  <c r="U128" i="9"/>
  <c r="O61" i="9"/>
  <c r="AF165" i="9"/>
  <c r="U27" i="9"/>
  <c r="AA120" i="9"/>
  <c r="AF104" i="9"/>
  <c r="AA37" i="9"/>
  <c r="AF151" i="9"/>
  <c r="AA160" i="9"/>
  <c r="U81" i="9"/>
  <c r="U72" i="9"/>
  <c r="AA159" i="9"/>
  <c r="AF50" i="9"/>
  <c r="AA165" i="9"/>
  <c r="O157" i="9"/>
  <c r="U68" i="9"/>
  <c r="AF73" i="9"/>
  <c r="AA23" i="9"/>
  <c r="AF48" i="9"/>
  <c r="AF130" i="9"/>
  <c r="U63" i="9"/>
  <c r="AA89" i="9"/>
  <c r="O64" i="9"/>
  <c r="O12" i="9"/>
  <c r="AF67" i="9"/>
  <c r="U18" i="9"/>
  <c r="AA69" i="9"/>
  <c r="O16" i="9"/>
  <c r="AA96" i="9"/>
  <c r="AF65" i="9"/>
  <c r="AA21" i="9"/>
  <c r="AF84" i="9"/>
  <c r="O25" i="9"/>
  <c r="AF28" i="9"/>
  <c r="AF129" i="9"/>
  <c r="AA36" i="9"/>
  <c r="O85" i="9"/>
  <c r="U30" i="9"/>
  <c r="AA103" i="9"/>
  <c r="AF55" i="9"/>
  <c r="AA116" i="9"/>
  <c r="AA47" i="9"/>
  <c r="AA73" i="9"/>
  <c r="O104" i="9"/>
  <c r="AF32" i="9"/>
  <c r="U59" i="9"/>
  <c r="AA127" i="9"/>
  <c r="U167" i="9"/>
  <c r="O164" i="9"/>
  <c r="U21" i="9"/>
  <c r="U121" i="9"/>
  <c r="O92" i="9"/>
  <c r="O137" i="9"/>
  <c r="AA62" i="9"/>
  <c r="AF79" i="9"/>
  <c r="U153" i="9"/>
  <c r="AF27" i="9"/>
  <c r="U10" i="9"/>
  <c r="U96" i="9"/>
  <c r="U73" i="9"/>
  <c r="AA72" i="9"/>
  <c r="U40" i="9"/>
  <c r="U161" i="9"/>
  <c r="AA93" i="9"/>
  <c r="O27" i="9"/>
  <c r="U46" i="9"/>
  <c r="AA92" i="9"/>
  <c r="O44" i="9"/>
  <c r="AF13" i="9"/>
  <c r="O32" i="9"/>
  <c r="AA129" i="9"/>
  <c r="O63" i="9"/>
  <c r="O42" i="9"/>
  <c r="O17" i="9"/>
  <c r="AA15" i="9"/>
  <c r="U97" i="9"/>
  <c r="AF61" i="9"/>
  <c r="AA101" i="9"/>
  <c r="O161" i="9"/>
  <c r="O160" i="9"/>
  <c r="O45" i="9"/>
  <c r="U55" i="9"/>
  <c r="U4" i="9"/>
  <c r="AA111" i="9"/>
  <c r="O110" i="9"/>
  <c r="AA125" i="9"/>
  <c r="O88" i="9"/>
  <c r="U103" i="9"/>
  <c r="AF70" i="9"/>
  <c r="AA10" i="9"/>
  <c r="AA108" i="9"/>
  <c r="O163" i="9"/>
  <c r="AA39" i="9"/>
  <c r="AF162" i="9"/>
  <c r="O39" i="9"/>
  <c r="U92" i="9"/>
  <c r="AF86" i="9"/>
  <c r="U150" i="9"/>
  <c r="O153" i="9"/>
  <c r="AF59" i="9"/>
  <c r="U60" i="9"/>
  <c r="AF92" i="9"/>
  <c r="U67" i="9"/>
  <c r="AF121" i="9"/>
  <c r="AA33" i="9"/>
  <c r="U52" i="9"/>
  <c r="U132" i="9"/>
  <c r="AA124" i="9"/>
  <c r="AF5" i="9"/>
  <c r="AF99" i="9"/>
  <c r="AA18" i="9"/>
  <c r="U105" i="9"/>
  <c r="U91" i="9"/>
  <c r="U107" i="9"/>
  <c r="U93" i="9"/>
  <c r="O55" i="9"/>
  <c r="AA29" i="9"/>
  <c r="O65" i="9"/>
  <c r="AA83" i="9"/>
  <c r="O96" i="9"/>
  <c r="AF158" i="9"/>
  <c r="AA34" i="9"/>
  <c r="U158" i="9"/>
  <c r="AF152" i="9"/>
  <c r="AA58" i="9"/>
  <c r="U51" i="9"/>
  <c r="AF97" i="9"/>
  <c r="AA71" i="9"/>
  <c r="AA150" i="9"/>
  <c r="AA135" i="9"/>
  <c r="AA115" i="9"/>
  <c r="O60" i="9"/>
  <c r="AA52" i="9"/>
  <c r="U143" i="9"/>
  <c r="O91" i="9"/>
  <c r="AA158" i="9"/>
  <c r="U106" i="9"/>
  <c r="U154" i="9"/>
  <c r="O95" i="9"/>
  <c r="AA164" i="9"/>
  <c r="AA153" i="9"/>
  <c r="AA99" i="9"/>
  <c r="AF160" i="9"/>
  <c r="AF30" i="9"/>
  <c r="U33" i="9"/>
  <c r="O103" i="9"/>
  <c r="U78" i="9"/>
  <c r="O86" i="9"/>
  <c r="AF8" i="9"/>
  <c r="U65" i="9"/>
  <c r="AF150" i="9"/>
  <c r="AA133" i="9"/>
  <c r="O62" i="9"/>
  <c r="AA65" i="9"/>
  <c r="AA22" i="9"/>
  <c r="AF139" i="9"/>
  <c r="U108" i="9"/>
  <c r="O15" i="9"/>
  <c r="AF101" i="9"/>
  <c r="AF22" i="9"/>
  <c r="AA61" i="9"/>
  <c r="AF87" i="9"/>
  <c r="AF95" i="9"/>
  <c r="U32" i="9"/>
  <c r="U164" i="9"/>
  <c r="AF90" i="9"/>
  <c r="O125" i="9"/>
  <c r="AF119" i="9"/>
  <c r="O130" i="9"/>
  <c r="U118" i="9"/>
  <c r="O31" i="9"/>
  <c r="AA130" i="9"/>
  <c r="AF58" i="9"/>
  <c r="O40" i="9"/>
  <c r="AF64" i="9"/>
  <c r="AA14" i="9"/>
  <c r="AF156" i="9"/>
  <c r="AF14" i="9"/>
  <c r="AA157" i="9"/>
  <c r="O123" i="9"/>
  <c r="O93" i="9"/>
  <c r="U134" i="9"/>
  <c r="AA57" i="9"/>
  <c r="U149" i="9"/>
  <c r="AA4" i="9"/>
  <c r="O53" i="9"/>
  <c r="AF118" i="9"/>
  <c r="O71" i="9"/>
  <c r="AF116" i="9"/>
  <c r="AA59" i="9"/>
  <c r="AA132" i="9"/>
  <c r="O26" i="9"/>
  <c r="AF20" i="9"/>
  <c r="U157" i="9"/>
  <c r="AA128" i="9"/>
  <c r="U20" i="9"/>
  <c r="O9" i="9"/>
  <c r="AF45" i="9"/>
  <c r="AA13" i="9"/>
  <c r="O132" i="9"/>
  <c r="U31" i="9"/>
  <c r="AF85" i="9"/>
  <c r="AA24" i="9"/>
  <c r="AA152" i="9"/>
  <c r="U79" i="9"/>
  <c r="AF10" i="9"/>
  <c r="U57" i="9"/>
  <c r="AF53" i="9"/>
  <c r="U140" i="9"/>
  <c r="O7" i="9"/>
  <c r="AA63" i="9"/>
  <c r="U86" i="9"/>
  <c r="AA105" i="9"/>
  <c r="AF111" i="9"/>
  <c r="O66" i="9"/>
  <c r="U125" i="9"/>
  <c r="O115" i="9"/>
  <c r="AF98" i="9"/>
  <c r="O136" i="9"/>
  <c r="U95" i="9"/>
  <c r="U88" i="9"/>
  <c r="O33" i="9"/>
  <c r="O144" i="9"/>
  <c r="U126" i="9"/>
  <c r="O152" i="9"/>
  <c r="AF69" i="9"/>
  <c r="O28" i="9"/>
  <c r="AF164" i="9"/>
  <c r="O69" i="9"/>
  <c r="U94" i="9"/>
  <c r="U47" i="9"/>
  <c r="U83" i="9"/>
  <c r="U141" i="9"/>
  <c r="AA41" i="9"/>
  <c r="AA126" i="9"/>
  <c r="O99" i="9"/>
  <c r="U142" i="9"/>
  <c r="AF37" i="9"/>
  <c r="U15" i="9"/>
  <c r="U152" i="9"/>
  <c r="AF103" i="9"/>
  <c r="O131" i="9"/>
  <c r="U9" i="9"/>
  <c r="U163" i="9"/>
  <c r="U117" i="9"/>
  <c r="U101" i="9"/>
  <c r="AF163" i="9"/>
  <c r="AA80" i="9"/>
  <c r="U80" i="9"/>
  <c r="AF141" i="9"/>
  <c r="U111" i="9"/>
  <c r="AF57" i="9"/>
  <c r="U5" i="9"/>
  <c r="AF54" i="9"/>
  <c r="O68" i="9"/>
  <c r="AA30" i="9"/>
  <c r="AF102" i="9"/>
  <c r="U22" i="9"/>
  <c r="AF94" i="9"/>
  <c r="O121" i="9"/>
  <c r="AA76" i="9"/>
  <c r="AF49" i="9"/>
  <c r="O43" i="9"/>
  <c r="AA141" i="9"/>
  <c r="AA85" i="9"/>
  <c r="U144" i="9"/>
  <c r="O46" i="9"/>
  <c r="O101" i="9"/>
  <c r="AA106" i="9"/>
  <c r="AA56" i="9"/>
  <c r="AA67" i="9"/>
  <c r="U124" i="9"/>
  <c r="AF132" i="9"/>
  <c r="O58" i="9"/>
  <c r="U37" i="9"/>
  <c r="U122" i="9"/>
  <c r="AF127" i="9"/>
  <c r="O21" i="9"/>
  <c r="O67" i="9"/>
  <c r="O129" i="9"/>
  <c r="AF81" i="9"/>
  <c r="AF89" i="9"/>
  <c r="AA142" i="9"/>
  <c r="AA166" i="9"/>
  <c r="U12" i="9"/>
  <c r="AF44" i="9"/>
  <c r="O118" i="9"/>
  <c r="O84" i="9"/>
  <c r="O158" i="9"/>
  <c r="AF34" i="9"/>
  <c r="AA88" i="9"/>
  <c r="U98" i="9"/>
  <c r="AF35" i="9"/>
  <c r="O124" i="9"/>
  <c r="U100" i="9"/>
  <c r="AF77" i="9"/>
  <c r="AA6" i="9"/>
  <c r="AA32" i="9"/>
  <c r="U160" i="9"/>
  <c r="U89" i="9"/>
  <c r="AA154" i="9"/>
  <c r="AA5" i="9"/>
  <c r="AA44" i="9"/>
  <c r="O107" i="9"/>
  <c r="O73" i="9"/>
  <c r="U50" i="9"/>
  <c r="O10" i="9"/>
  <c r="U119" i="9"/>
  <c r="U110" i="9"/>
  <c r="O72" i="9"/>
  <c r="AF154" i="9"/>
  <c r="U44" i="9"/>
  <c r="AF33" i="9"/>
  <c r="AF96" i="9"/>
  <c r="U61" i="9"/>
  <c r="AF166" i="9"/>
  <c r="U166" i="9"/>
  <c r="AF72" i="9"/>
  <c r="U129" i="9"/>
  <c r="U127" i="9"/>
  <c r="AA163" i="9"/>
  <c r="U14" i="9"/>
  <c r="AA43" i="9"/>
  <c r="AF105" i="9"/>
  <c r="O23" i="9"/>
  <c r="O135" i="9"/>
  <c r="AA40" i="9"/>
  <c r="O49" i="9"/>
  <c r="O47" i="9"/>
  <c r="O151" i="9"/>
  <c r="U62" i="9"/>
  <c r="O154" i="9"/>
  <c r="O148" i="9"/>
  <c r="O100" i="9"/>
  <c r="O18" i="9"/>
  <c r="U66" i="9"/>
  <c r="AF138" i="9"/>
  <c r="U7" i="9"/>
  <c r="U64" i="9"/>
  <c r="AA19" i="9"/>
  <c r="AA84" i="9"/>
  <c r="U23" i="9"/>
  <c r="O166" i="9"/>
  <c r="AF134" i="9"/>
  <c r="O83" i="9"/>
  <c r="U84" i="9"/>
  <c r="AF108" i="9"/>
  <c r="O128" i="9"/>
  <c r="AA48" i="9"/>
  <c r="AF120" i="9"/>
  <c r="AA50" i="9"/>
  <c r="O19" i="9"/>
  <c r="O79" i="9"/>
  <c r="O167" i="9"/>
  <c r="AF142" i="9"/>
  <c r="U138" i="9"/>
  <c r="AF62" i="9"/>
  <c r="AA100" i="9"/>
  <c r="AF76" i="9"/>
  <c r="O108" i="9"/>
  <c r="AF124" i="9"/>
  <c r="AA78" i="9"/>
  <c r="O120" i="9"/>
  <c r="AF60" i="9"/>
  <c r="U13" i="9"/>
  <c r="AA143" i="9"/>
  <c r="U87" i="9"/>
  <c r="U109" i="9"/>
  <c r="N173" i="9" l="1"/>
  <c r="N174" i="9"/>
  <c r="N172" i="9"/>
  <c r="AE173" i="9"/>
  <c r="AE172" i="9"/>
  <c r="T172" i="9"/>
  <c r="T173" i="9"/>
  <c r="T174" i="9"/>
  <c r="Z172" i="9"/>
  <c r="Z173" i="9"/>
  <c r="Z174" i="9"/>
  <c r="F171" i="9" l="1"/>
  <c r="J179" i="9"/>
</calcChain>
</file>

<file path=xl/comments1.xml><?xml version="1.0" encoding="utf-8"?>
<comments xmlns="http://schemas.openxmlformats.org/spreadsheetml/2006/main">
  <authors>
    <author>Автор</author>
  </authors>
  <commentList>
    <comment ref="D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Договор готовит заказчик</t>
        </r>
      </text>
    </comment>
    <comment ref="T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отбора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закрепления</t>
        </r>
      </text>
    </comment>
    <comment ref="U1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3600
2400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3600+2400</t>
        </r>
      </text>
    </comment>
    <comment ref="K1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Проверить З</t>
        </r>
      </text>
    </comment>
    <comment ref="K2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Договору 152/10 не работали</t>
        </r>
      </text>
    </comment>
    <comment ref="O2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S2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charset val="1"/>
          </rPr>
          <t xml:space="preserve">
О есть
4 дозиметра З есть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договору на 1,2 квартал остались  МЫ должны 2 измерения</t>
        </r>
      </text>
    </comment>
    <comment ref="Y3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Оплата ушла в договор за 2020г</t>
        </r>
      </text>
    </comment>
    <comment ref="E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договора на 4 квартал</t>
        </r>
      </text>
    </comment>
    <comment ref="I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Возвращены их ривязанные к нам
используем 1</t>
        </r>
      </text>
    </comment>
    <comment ref="K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Есть О и В</t>
        </r>
      </text>
    </comment>
    <comment ref="T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2020г</t>
        </r>
      </text>
    </comment>
    <comment ref="W3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 есть</t>
        </r>
      </text>
    </comment>
    <comment ref="P3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два квартала</t>
        </r>
      </text>
    </comment>
    <comment ref="S5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+1 дозиметр</t>
        </r>
      </text>
    </comment>
    <comment ref="M5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Поищет</t>
        </r>
      </text>
    </comment>
    <comment ref="K6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отбора</t>
        </r>
      </text>
    </comment>
    <comment ref="M6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Майя Викторовна уточнит</t>
        </r>
      </text>
    </comment>
    <comment ref="G6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 1 кв</t>
        </r>
      </text>
    </comment>
    <comment ref="S6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на 1 дозиметр Мы доложили отбор</t>
        </r>
      </text>
    </comment>
    <comment ref="W6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K6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17+3
О есть
З есть на 3 шт</t>
        </r>
      </text>
    </comment>
    <comment ref="M6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18 измерений</t>
        </r>
      </text>
    </comment>
    <comment ref="Q7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1 и 2 кварталы</t>
        </r>
      </text>
    </comment>
    <comment ref="W7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M7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9600+2400</t>
        </r>
      </text>
    </comment>
    <comment ref="Q7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2400+9600</t>
        </r>
      </text>
    </comment>
    <comment ref="U7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2400+8400</t>
        </r>
      </text>
    </comment>
    <comment ref="Y7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9600+2400</t>
        </r>
      </text>
    </comment>
    <comment ref="M7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Поищет</t>
        </r>
      </text>
    </comment>
    <comment ref="W7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 есть</t>
        </r>
      </text>
    </comment>
    <comment ref="H8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16+1
1 утерян</t>
        </r>
      </text>
    </comment>
    <comment ref="S8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 2 штуки есть</t>
        </r>
      </text>
    </comment>
    <comment ref="U8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19 200+1200
возмещение</t>
        </r>
      </text>
    </comment>
    <comment ref="Y8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19200+1200</t>
        </r>
      </text>
    </comment>
    <comment ref="W8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K8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S8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Q9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1+2 кварталы</t>
        </r>
      </text>
    </comment>
    <comment ref="K9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отдали</t>
        </r>
      </text>
    </comment>
    <comment ref="W9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K100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O10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T10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возмещение 2055</t>
        </r>
      </text>
    </comment>
    <comment ref="X10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возмещение 2055</t>
        </r>
      </text>
    </comment>
    <comment ref="Y10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3,4 кварталы</t>
        </r>
      </text>
    </comment>
    <comment ref="P10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два квартала</t>
        </r>
      </text>
    </comment>
    <comment ref="S10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J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4 картал 2018</t>
        </r>
      </text>
    </comment>
    <comment ref="N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1,2 квартал 2019</t>
        </r>
      </text>
    </comment>
    <comment ref="S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Y10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13200+6000</t>
        </r>
      </text>
    </comment>
    <comment ref="N10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 и 2 квартал</t>
        </r>
      </text>
    </comment>
    <comment ref="O10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W10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W11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W11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W11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H11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Здала дозиметр</t>
        </r>
      </text>
    </comment>
    <comment ref="W11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O11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W11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O12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З/В есть</t>
        </r>
      </text>
    </comment>
    <comment ref="W12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O12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S12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З, О есть</t>
        </r>
      </text>
    </comment>
    <comment ref="W12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S1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скан</t>
        </r>
      </text>
    </comment>
    <comment ref="D13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Нужно ДС на 2 дозиметра на 4 квартал 2019</t>
        </r>
      </text>
    </comment>
    <comment ref="W13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H13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7+2</t>
        </r>
      </text>
    </comment>
    <comment ref="W13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W13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Y13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5850+10266,64</t>
        </r>
      </text>
    </comment>
    <comment ref="L14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на 7200</t>
        </r>
      </text>
    </comment>
    <comment ref="M14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charset val="1"/>
          </rPr>
          <t xml:space="preserve">
13200 + 3600</t>
        </r>
      </text>
    </comment>
    <comment ref="Q14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charset val="1"/>
          </rPr>
          <t xml:space="preserve">
13200 + 3600</t>
        </r>
      </text>
    </comment>
    <comment ref="U14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13200+3600
+3600 за октябрь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L2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L2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N3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Оплата 4800 за 4 квартал 2019г
4800 за 1 квартал 2020</t>
        </r>
      </text>
    </comment>
    <comment ref="J3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Возвращены их ривязанные к нам
используем 1</t>
        </r>
      </text>
    </comment>
    <comment ref="W3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 есть</t>
        </r>
      </text>
    </comment>
    <comment ref="N70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3,4 кв 2019
1 кв 2020</t>
        </r>
      </text>
    </comment>
    <comment ref="N9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1кв 2020 + 1-4 кв 2019</t>
        </r>
      </text>
    </comment>
    <comment ref="T100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10800 + 1200</t>
        </r>
      </text>
    </comment>
    <comment ref="J10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39+8</t>
        </r>
      </text>
    </comment>
    <comment ref="N10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18569+7000</t>
        </r>
      </text>
    </comment>
    <comment ref="T105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18569+8000</t>
        </r>
      </text>
    </comment>
    <comment ref="L11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I12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Здала дозиметр</t>
        </r>
      </text>
    </comment>
    <comment ref="Q12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Q12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Q130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 есть</t>
        </r>
      </text>
    </comment>
    <comment ref="Q13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В, З есть
З есть</t>
        </r>
      </text>
    </comment>
    <comment ref="W14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О</t>
        </r>
      </text>
    </comment>
    <comment ref="W15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W15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I15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7+2</t>
        </r>
      </text>
    </comment>
    <comment ref="N16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весь квартал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L2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L2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J3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Возвращены их ривязанные к нам
используем 1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 есть</t>
        </r>
      </text>
    </comment>
    <comment ref="N68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3,4 кв 2019
1 кв 2020</t>
        </r>
      </text>
    </comment>
    <comment ref="N9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1кв 2020 + 1-4 кв 2019</t>
        </r>
      </text>
    </comment>
    <comment ref="T9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10800 + 1200</t>
        </r>
      </text>
    </comment>
    <comment ref="N10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Оплата 4800 за 4 квартал 2019г
4800 за 1 квартал 2020</t>
        </r>
      </text>
    </comment>
    <comment ref="J11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39+8</t>
        </r>
      </text>
    </comment>
    <comment ref="N11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18569+7000</t>
        </r>
      </text>
    </comment>
    <comment ref="T11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18569+8000</t>
        </r>
      </text>
    </comment>
    <comment ref="L11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I121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Здала дозиметр</t>
        </r>
      </text>
    </comment>
    <comment ref="Q126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Q127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Q12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 есть</t>
        </r>
      </text>
    </comment>
    <comment ref="Q13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В, З есть
З есть</t>
        </r>
      </text>
    </comment>
    <comment ref="W14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Нет О</t>
        </r>
      </text>
    </comment>
    <comment ref="W152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 есть</t>
        </r>
      </text>
    </comment>
    <comment ref="W153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О есть</t>
        </r>
      </text>
    </comment>
    <comment ref="I159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7+2</t>
        </r>
      </text>
    </comment>
    <comment ref="N164" authorId="0" shapeId="0">
      <text>
        <r>
          <rPr>
            <b/>
            <sz val="9"/>
            <color indexed="81"/>
            <rFont val="Tahoma"/>
            <charset val="1"/>
          </rPr>
          <t>Автор:</t>
        </r>
        <r>
          <rPr>
            <sz val="9"/>
            <color indexed="81"/>
            <rFont val="Tahoma"/>
            <charset val="1"/>
          </rPr>
          <t xml:space="preserve">
за весь квартал</t>
        </r>
      </text>
    </comment>
  </commentList>
</comments>
</file>

<file path=xl/sharedStrings.xml><?xml version="1.0" encoding="utf-8"?>
<sst xmlns="http://schemas.openxmlformats.org/spreadsheetml/2006/main" count="4083" uniqueCount="1212">
  <si>
    <t>Стоматология Мурат</t>
  </si>
  <si>
    <t>СГМУ 155</t>
  </si>
  <si>
    <t>Дантист</t>
  </si>
  <si>
    <t>Инвитро-Нальчик</t>
  </si>
  <si>
    <t>ООО Гамма</t>
  </si>
  <si>
    <t>ООО Альфа Дент</t>
  </si>
  <si>
    <t>Гор больница №4 Ставрополь</t>
  </si>
  <si>
    <t>Гор больница №2 Невинномысск</t>
  </si>
  <si>
    <t>ГБУЗ СК "Кочубеевская РБ"</t>
  </si>
  <si>
    <t>Договор № 02/01-18 ИД</t>
  </si>
  <si>
    <t>ГБУЗ СК "СККПЦ №1"</t>
  </si>
  <si>
    <t>Договор № 01/01-18 ИД</t>
  </si>
  <si>
    <t>ГБУЗ СК "ГП №2"</t>
  </si>
  <si>
    <t>Договор № 03/01-18 ИД</t>
  </si>
  <si>
    <t>Договор №   09/11-17 ИД</t>
  </si>
  <si>
    <t xml:space="preserve">ООО "Симфония Улыбки", Ставрополь </t>
  </si>
  <si>
    <t>Минераловодская таможня</t>
  </si>
  <si>
    <t>Контракт 264</t>
  </si>
  <si>
    <t>Договор №   04/02-18 ИД от 6.2.18</t>
  </si>
  <si>
    <t>ООО "ЗУБР"</t>
  </si>
  <si>
    <t>Договор №   07/02-18 ИД от 9.1.18</t>
  </si>
  <si>
    <t>Договор №   05/02-18 ИД от 9.1.18</t>
  </si>
  <si>
    <t>ФГБОУ ВО "СТГМУ" Минздрава России</t>
  </si>
  <si>
    <t>Контракт №42 от 20.03.2018</t>
  </si>
  <si>
    <t>ООО ТАДЦ "Ритм"</t>
  </si>
  <si>
    <t>ФКУЗ "МСЧ МВД России по Ставропольскому краю"</t>
  </si>
  <si>
    <t>Государственный контракт № 41 от 12 марта 2018г</t>
  </si>
  <si>
    <t>Договор №14/03-18 ИД от 28.03.2018</t>
  </si>
  <si>
    <t>ООО "Эстетическая Стоматология" Невинномысск</t>
  </si>
  <si>
    <t>Тротер, г Чегем</t>
  </si>
  <si>
    <t>Гор больница №1 Невинномысск</t>
  </si>
  <si>
    <t>Архив</t>
  </si>
  <si>
    <t>Не подписан</t>
  </si>
  <si>
    <t>Действующий</t>
  </si>
  <si>
    <t>Договор №21/03-18 ИК от 23.03.2018г.</t>
  </si>
  <si>
    <t>ГБУЗ СК "ГП № 4" Г. Ставрополя</t>
  </si>
  <si>
    <t>Договор № 08/03-18 ИД от 30.03.2018</t>
  </si>
  <si>
    <t>Акты &gt;</t>
  </si>
  <si>
    <t>КОНТРАКТ №0067</t>
  </si>
  <si>
    <t>Договор № 09/04-18 ИД от 26.04.2018</t>
  </si>
  <si>
    <t>Договор № 10/05-18 ИД от 03.05.2018</t>
  </si>
  <si>
    <t>ООО "Интертехмед"</t>
  </si>
  <si>
    <t>Медилайн</t>
  </si>
  <si>
    <t>ООО «РусЕвроКлиник Ставрополь»</t>
  </si>
  <si>
    <t>Договор № 11/06-18 ИД от 06.06.2018</t>
  </si>
  <si>
    <t>Контракт 60А от 14.06.18</t>
  </si>
  <si>
    <t>Договор № 12/06-18 ИД от 20.06.2018</t>
  </si>
  <si>
    <t>Договор №   06/06-18 ИД от 21.6.18</t>
  </si>
  <si>
    <t>ФГКУ «Санаторий «Черноморье» КРЫМ</t>
  </si>
  <si>
    <t>СТГМУ</t>
  </si>
  <si>
    <t>ГБУЗ СК "СККПЦ №1" Ставрополь</t>
  </si>
  <si>
    <t>Договор №13/06-18 ИД от 27.06.2018</t>
  </si>
  <si>
    <t>36/37</t>
  </si>
  <si>
    <t>ГБУЗ СК «ГКБ СМП» г. Ставрополя (ГБ №4)</t>
  </si>
  <si>
    <t>ООО "МРЦ "Гармония" КРЫМ (начнём работу по запросу заказчика)</t>
  </si>
  <si>
    <t>Протакол отдан, но акты не вернулись</t>
  </si>
  <si>
    <t>Протакол отдан, акты вернулись</t>
  </si>
  <si>
    <t>Срок действия договора, если он срочный</t>
  </si>
  <si>
    <t>Детская больница г. Невинномысск (3,4 кв 2018)</t>
  </si>
  <si>
    <t>Договор №   15/07-18 ИД от 26.7.18</t>
  </si>
  <si>
    <t>ООО "Денталь" Крым</t>
  </si>
  <si>
    <t>Договор №   16/07-18 ИД от 26.7.18</t>
  </si>
  <si>
    <t>ООО "ДентАли" Крым (дозиметры у них постоянно, протоколы отправлять ежеквартально)</t>
  </si>
  <si>
    <t>Договор №17/09-18 ИД от 21.09.2018</t>
  </si>
  <si>
    <t>ГОСУДАРСТВЕННЫЙ КОНТРАКТ №387-ОС от 3.7.2018</t>
  </si>
  <si>
    <t>54/55</t>
  </si>
  <si>
    <t>КОНТРАКТ №134/эт 28 мая 2018</t>
  </si>
  <si>
    <t>ГБУЗ СК «ГКБ СМП» г. Ставрополя (ГБ №4)(объект 2)</t>
  </si>
  <si>
    <t>ИП Цеков</t>
  </si>
  <si>
    <t>Договор №59/10-18 ИД от 11.10.2018</t>
  </si>
  <si>
    <t>В ожидании запроса на дозиметры</t>
  </si>
  <si>
    <t>910200227634</t>
  </si>
  <si>
    <t>ООО "Вторая Эксплуатационная Компания"</t>
  </si>
  <si>
    <t>Договор №61/10-18 ИД от 18.10.2018</t>
  </si>
  <si>
    <t>ГБУЗ "ГП №1" г. Невинномысска</t>
  </si>
  <si>
    <t>КОНТРАКТ №0321300039818000130</t>
  </si>
  <si>
    <t>Подписан</t>
  </si>
  <si>
    <t>ГБУЗ СК "ГП №4" г. Ставрополя</t>
  </si>
  <si>
    <t>Договор №08/03-18 ИД от 30.03.2018</t>
  </si>
  <si>
    <t>2635232671</t>
  </si>
  <si>
    <t>Медицинское частное учреждение дополнительного профессионального образования "Клиника Медекс Севастополь"</t>
  </si>
  <si>
    <t>Договор №62/11-18 ИД от 02.11.2018г</t>
  </si>
  <si>
    <t>74/75</t>
  </si>
  <si>
    <t>ООО "СК "САЛЮТ"</t>
  </si>
  <si>
    <t>Договор №63/11-18 ИД от 03.11.2018г</t>
  </si>
  <si>
    <t>357000, Ставропольский край, Кочубеевский район, село Кочубеевское, Восточная улица, 63    8-962-456-08-20 Старший рентгенлаборант Серенко Валентина Васильевна</t>
  </si>
  <si>
    <t>357112, Ставропольский край, город Невинномысск, Клубный переулок, 8  8-928-820-68-17 Гл. медсестра. Ирина Анатольевна</t>
  </si>
  <si>
    <t>357101, Ставропольский край, город Невинномысск, улица Шевченко, 7                   8-928-818-28-30 Елена Валерьевна</t>
  </si>
  <si>
    <t>355029, Ставропольский край, город Ставрополь, улица Семашко, дом 3\1</t>
  </si>
  <si>
    <t>355000, Ставропольский край, город Ставрополь, улица Доваторцев, дом 59а, офис 18  8(961)499-59-79</t>
  </si>
  <si>
    <t xml:space="preserve">357200, Ставропольский край, Минераловодский район, город Минеральные Воды, Советская улица, дом 150  8-928-695-78-68 Магомед. Техник
8-928-28-53-533 Сергей Вячеславович. Начальник Магомеда
</t>
  </si>
  <si>
    <t xml:space="preserve">ГБУЗ СК "ГДБ" Г. Невинномысска </t>
  </si>
  <si>
    <t>357113, Ставропольский край, город Невинномысск, Трудовая улица, 84  Ольга Гавриловна Рентген лаборант 8-919-754-70-05
Генадий Кузмич 8-918-759-27-84</t>
  </si>
  <si>
    <t>357100, Ставропольский край, город Невинномысск, Северная улица, 4 а    8-928-013-66-49</t>
  </si>
  <si>
    <t xml:space="preserve">357100, Ставропольский край, город Невинномысск, бульвар Мира, 18 А, 23   8-928-264-63-14 Юля </t>
  </si>
  <si>
    <t>357111, Ставропольский край, город Невинномысск, Монтажная улица, 14   8-928-308-94-73  Михаил</t>
  </si>
  <si>
    <t xml:space="preserve">355000, Ставропольский край, город Ставрополь, проспект Октябрьской Революции, 53    8-8652 30-44-75 Эльвира Петровна ответственная за дозиметры
</t>
  </si>
  <si>
    <t>357112, Ставропольский край, город Невинномысск, улица Павлова, 5    Ст мед сестра 8 961 457 46 26</t>
  </si>
  <si>
    <t>355021, Ставропольский край, город Ставрополь, Тюльпановая улица, дом 12/2  8-928-339-16-20 Алена Юрьевна</t>
  </si>
  <si>
    <t xml:space="preserve">355000, Ставропольский край, город Ставрополь, улица Тухачевского, 17    Людмила Михайловна 8-962-010-78-53 </t>
  </si>
  <si>
    <t xml:space="preserve">296500 Республика Крым.       8-978-783-33-20
г. Саки, ул. Евпаторийское шоссе 55,
</t>
  </si>
  <si>
    <t xml:space="preserve">355000, Россия, Ставропольский край, г. Ставрополь, ул. 50 лет ВЛКСМ 50/2 </t>
  </si>
  <si>
    <t>298655, Российская Федерация, Республика Крым, г. Ялта, пгт. Ливадия, ул. Виноградная, д. 12         Ст. Мс 8-978-754-07-55</t>
  </si>
  <si>
    <t>298200, республика Крым, Ленинский район, поселок городского типа Ленино, Вишневая улица, дом 9,   8-978-818-92-56 Юлия</t>
  </si>
  <si>
    <t>298312, республика Крым, город Керчь, улица Шевякова, дом 23а этаж 1</t>
  </si>
  <si>
    <t>355021, Ставропольский край, город Ставрополь, Тюльпановая улица, дом 12/2 Исп. 8-928-339-16-20 Алена Юрьевна</t>
  </si>
  <si>
    <t>299055 г. Севастополь,  ул.Хрусталева, д. 84. Исп. 8-978-553-99-56 Колевзон Елена</t>
  </si>
  <si>
    <t>Подписан ждем запрос на дозиметры</t>
  </si>
  <si>
    <t>299045, г. Севастополь, ул. Александра Шостака, д.5, помещение цокольный этаж исп. Директор Великая Евгения Сергеевна 8-978-076-04-17</t>
  </si>
  <si>
    <t>ООО "Планета Дент"</t>
  </si>
  <si>
    <t>Договор №64/11-18 ИД от 12.11.2018г</t>
  </si>
  <si>
    <t xml:space="preserve">ООО «Планета Дент» 299029,  г. Севастополь, проспект Генерала Острякова, д.13А, нежилое помещение административно-производственного здания с №I-17 по №I-20, 8-978-031-49-19 Цанцариди Нина Георгиевна
</t>
  </si>
  <si>
    <t xml:space="preserve">Отправлен почтой </t>
  </si>
  <si>
    <t>ООО "Ветренген"</t>
  </si>
  <si>
    <t>355002, Ставропольский край, г. Ставрополь, ул. Серова,  205  А, офис 1 Летов Иван Иванович 8-903-445-20-85</t>
  </si>
  <si>
    <t>Договор №65/11-18 ИД от 14.11.2018г</t>
  </si>
  <si>
    <t>ООО "Стоматология"</t>
  </si>
  <si>
    <t>356630, Ставропольский край, Ипатовский район, г. Ипатово, ул. Гагарина, д. 17 в            Руденко Андрей Николаевич 8-961-470-81-60</t>
  </si>
  <si>
    <t>Договор №66/11-18 ИД от 15.11.2018г</t>
  </si>
  <si>
    <t>План</t>
  </si>
  <si>
    <t>Факт</t>
  </si>
  <si>
    <t>КОНТРАКТ №0141 jn 13.08.18</t>
  </si>
  <si>
    <t xml:space="preserve">Ставропольский край,
г. Ставрополь, ул. Семашко, 3/1
</t>
  </si>
  <si>
    <t>22</t>
  </si>
  <si>
    <t>№п/п</t>
  </si>
  <si>
    <t>Наименование организации заказчика</t>
  </si>
  <si>
    <t>Адрес, контакт</t>
  </si>
  <si>
    <t>№ договора / контракта</t>
  </si>
  <si>
    <t>ИНН</t>
  </si>
  <si>
    <t>Статус</t>
  </si>
  <si>
    <t>ООО НППФ  "Альянс-Рем"</t>
  </si>
  <si>
    <t>ООО  "МРТ Керчь"</t>
  </si>
  <si>
    <t>298303, Республика Крым, г. Керчь, ул.Кирова, д22, корпус1, офис 7   Сибогатов Альверт Васильевич  +7 912 264 43 72</t>
  </si>
  <si>
    <t>Договор №67/11-18 ИД от 23.11.2018г</t>
  </si>
  <si>
    <t>ООО "Следующее Поколение", г.Ставрополь</t>
  </si>
  <si>
    <t>355035, Ставропольский край, город Ставрополь, улица Спартака, дом 2, помещение 312  Бабенкова Анна Алексеевна 8 962-446-74-47</t>
  </si>
  <si>
    <t>Договор №68/11-18 ИД от 29.11.2018г</t>
  </si>
  <si>
    <t>Договор №69/11-18 ИД от 29.11.2018г</t>
  </si>
  <si>
    <t xml:space="preserve">355000, Ставропольский край, город Ставрополь, проспект Октябрьской Революции, 30   Захаров Геннадий Петрович 8-928-815-00-05 
</t>
  </si>
  <si>
    <t>ООО «Стоматологический центр Ренессанс»,    г Ставрополь</t>
  </si>
  <si>
    <t>Частное учреждение «Центр образовательной и клинической соматологии профессора Брагина», г. Ставрополь</t>
  </si>
  <si>
    <t>Договор №70/11-18 ИД от 29.11.2018г</t>
  </si>
  <si>
    <t>355000, Ставропольский край, г. Ставрополь, ул. Мира, 236,16       Юлия Николаевна              8-962-420-62-32</t>
  </si>
  <si>
    <t>Договор №71/11-18 ИД от 30.11.2018г</t>
  </si>
  <si>
    <t>ГБУЗ СК "КККД" г. Ставрополь (кардиоцентр)</t>
  </si>
  <si>
    <t>355003, Ставропольский край, город Ставрополь, улица Ломоносова, 5 Гвоздева Елена Геннадьевна 8-918-747-22-92</t>
  </si>
  <si>
    <t>355000, Ставропольский край, город Ставрополь, Пригородная улица, 224 А Владимир иванович 8-962-402-61-79</t>
  </si>
  <si>
    <t>Невинномысский филиал АНМО "СКККДЦ", г.невинномысск</t>
  </si>
  <si>
    <t>Договор №72/11-18 ИД от 29.11.2018г</t>
  </si>
  <si>
    <t>357107 Ставропольский край, г.Невинномысск, ул.Низяева, 1 Галина Викторовна 8-905-496-20-13</t>
  </si>
  <si>
    <t>Договор № 03/01-18 от 16.01.2018 ИД + Допсоглашение 1 от 30.11.2018</t>
  </si>
  <si>
    <t>ООО "Лаврентьевой Х. Г."</t>
  </si>
  <si>
    <t>355000, Ставропольский край, город Ставрополь, проспект К.Маркса, 76 Б  Лаврентьева Христина Георгиевна 8-962-403-24-27</t>
  </si>
  <si>
    <t>Договор №75/12-18 ИД от 04.12.2018г</t>
  </si>
  <si>
    <t>ГБУЗ СК ГКП №1, г.Ставрополя</t>
  </si>
  <si>
    <t>ГБУЗ СК ГСП г.Невинномысска</t>
  </si>
  <si>
    <t>357108, Ставропольский край, город Невинномысск, улица Менделеева, 5 Богдан Ольга Александровна 8-928-339-32-76</t>
  </si>
  <si>
    <t>Договор №73/12-18 ИД от 03.12.2018г</t>
  </si>
  <si>
    <t>ГКУЗ СК "КСД "Дружба"</t>
  </si>
  <si>
    <t>Договор №78/12-18 ИД от 05.12.2018г</t>
  </si>
  <si>
    <t>ГБУЗ СК "Городская Клиническая Поликлиника № 6" Г. Ставрополя</t>
  </si>
  <si>
    <t>Договор №77/12-18 ИД от 05.12.2018г</t>
  </si>
  <si>
    <t>355000, Ставропольский край, город Ставрополь, улица Тухачевского, 17            Зав. РО Павлова Ольга Михайловна 8-962-442-10-90</t>
  </si>
  <si>
    <t>355000, Ставропольский край, город Ставрополь, Октябрьская улица, 159             Елена Григорьевана 8-928-300-60-84</t>
  </si>
  <si>
    <t>Договор №74/09-18 ИД от 07.09.2018г</t>
  </si>
  <si>
    <t>ГАУЗ СК "ГСП № 2" Г. Ставрополя</t>
  </si>
  <si>
    <t>Договор №76/12-18 ИД от 05.12.2018г</t>
  </si>
  <si>
    <t>355000, Ставропольский край, город Ставрополь, улица Руставели, 34 А Пономаренко Галина Курбановна 8-918-866-29-47</t>
  </si>
  <si>
    <t>ГБУЗ СК "ГДКП №2", г.Ставрополя</t>
  </si>
  <si>
    <t>355017, Ставропольский край, город Ставрополь, улица Маршала Жукова, 50 Строкова Ирина Дмитриевна +7 962 420 08 02</t>
  </si>
  <si>
    <t>Договор №83/12-18 ИД от 07.12.2018г</t>
  </si>
  <si>
    <t>ООО "Дента-Л", г.Ставрополь</t>
  </si>
  <si>
    <t xml:space="preserve">355000, Ставропольский край, город Ставрополь, проспект Юности, 5 МОД: 355000,г.Ставрополь,ул. Лермонтова, д.239/5 Валерия 8 928 306 2004 </t>
  </si>
  <si>
    <t>Договор №88/07-18 ИД от 16.07.2018г</t>
  </si>
  <si>
    <t>ООО "КДС", г.Ставрополь</t>
  </si>
  <si>
    <t xml:space="preserve">355000, Ставропольский край, город Ставрополь, Мастеровая улица, 28 Володина Наталья Ивановна тел. 8 903 444 06 97 </t>
  </si>
  <si>
    <t>Договор №91/09-18 ИД от 04.09.2018г</t>
  </si>
  <si>
    <t>ГБУЗ СК СКИБ, г.Ставрополя</t>
  </si>
  <si>
    <t>355000, Ставропольский край, город Ставрополь, улица Серова, 521</t>
  </si>
  <si>
    <t>Договор №85/10-18 ИД от 02.10.2018г</t>
  </si>
  <si>
    <t>ГБУЗ СК "КСПБ №2", п.Тоннельный</t>
  </si>
  <si>
    <t xml:space="preserve">357034, Ставропольский край, Кочубеевский район, поселок Тоннельный, улица Королева, 84   Ольга Леонидовна
тел. 8 905-467-37-82  Уманская Марианна Владимировна тел. 8 909-773-68-48 
 </t>
  </si>
  <si>
    <t>ГАУЗ СК"ГСП№1" Г.Ставрополя</t>
  </si>
  <si>
    <t>Договор №99/12-18 ИД от 14.12.2018г</t>
  </si>
  <si>
    <t>ООО "ЕвроДент" , г.Ставрополь</t>
  </si>
  <si>
    <t>Договор №92/10-18 ИД от 12.10.2018г</t>
  </si>
  <si>
    <t xml:space="preserve">355042, Ставропольский край, город Ставрополь, улица 50 лет ВЛКСМ, дом 53 корпус 5  Директор Бугзель Борис Георгиевич 
тел. 8-962-454-92-92 </t>
  </si>
  <si>
    <t xml:space="preserve">355037, Ставропольский край, город Ставрополь, улица Доваторцев, дом 50 корпус 2  Гл. мед сестра Инна Николаевна  
тел. 8-962-455-01-32 </t>
  </si>
  <si>
    <t>ООО "Стоматологическая клиника Поляковой", с.Дивное</t>
  </si>
  <si>
    <t>Договор №93/08-18 ИД от 02.08.2018г</t>
  </si>
  <si>
    <t xml:space="preserve">356721,Россия, Ставропольский край, Апанасенковский район,  с. Дивное, 
ул. Шевченко, дом 37, дом 53 корпус 5  Полякова Алла Викторовна
тел. 7 918 773 8701 </t>
  </si>
  <si>
    <t>ГБУЗ СК "КСТБ", с.Бурукшун</t>
  </si>
  <si>
    <t>356626, Ставропольский край, Ипатовский район, село Бурукшун, улица Мира, 64Медведева Наталья Ильинична 
8-861-480-04-42</t>
  </si>
  <si>
    <t>ГБУЗ СК "СККСПБ № 1", г.Ставрополь</t>
  </si>
  <si>
    <t>355000, Ставропольский край, город Ставрополь, улица Ленина, 441   Фомченко Татьяна Евсеевна  8-918-784-86-99</t>
  </si>
  <si>
    <t>Договор №101/12-18 ИД от 17.12.2018г</t>
  </si>
  <si>
    <t>ООО "Дент К", г.Изобильный</t>
  </si>
  <si>
    <t>356140, Ставропольский край, Изобильненский район, город Изобильный, Западная улица, 80 Б  Кириллова Татьяна Алексеевна 
тел. +7-961-459-74-00</t>
  </si>
  <si>
    <t>Договор №98/10-18 ИД от 09.10.2018г</t>
  </si>
  <si>
    <t>ООО "Дент-а-Мед", г.Буденновск</t>
  </si>
  <si>
    <t xml:space="preserve">ООО "Юнидент",г.Буденновск </t>
  </si>
  <si>
    <t xml:space="preserve">356800, Ставропольский край, Буденновский район, город Буденновск, микрорайон 7, 9а  Набиева Лариса Анатольевна
тел. 8 906 413 36 49  Старцева Ольга Сергеевна тел. 8 928 356 87 51 </t>
  </si>
  <si>
    <t xml:space="preserve">356800, Ставропольский край, Буденновский район, город Буденновск, Октябрьская улица, дом 82, квартира 1                         Набиева Лариса Анатольевна
тел. 8 906 413 36 49  Старцева Ольга Сергеевна тел. 8 928 356 87 51 </t>
  </si>
  <si>
    <t>Договор №81/10-18 ИД от 16.10.2018г</t>
  </si>
  <si>
    <t>Договор №86/10-18 ИД от 16.10.2018г</t>
  </si>
  <si>
    <t>94/101</t>
  </si>
  <si>
    <t>РГБУЗ "Хабезская ЦРБ"</t>
  </si>
  <si>
    <t>Договор №94/12-18 ИД от 12.12.2018г</t>
  </si>
  <si>
    <t>369400, республика Карачаево-Черкесская, Хабезский район, аул Хабез, Больничная улица, дом 6                                                               Жанна   тел. 8 928 383 05 45</t>
  </si>
  <si>
    <t xml:space="preserve">ГБУЗ СК "ГДКБ им.Г.К.Филиппского" Г.Ставрополя </t>
  </si>
  <si>
    <t>355002, Ставропольский край, город Ставрополь, улица Пономарева, 5            Людмила Сергеевна тел. 8-909-758-60-34</t>
  </si>
  <si>
    <t>Договор №82/12-18 ИД от 07.09.2018г</t>
  </si>
  <si>
    <t>ООО НПО "Аполония", г.Ставрополь</t>
  </si>
  <si>
    <t>355000, Ставропольский край, город Ставрополь, улица Пирогова, 30 А Слетова Анжела Рубеновна 8-905-498-01-51</t>
  </si>
  <si>
    <t>Договор №106/10-18 ИД от 10.10.2018г</t>
  </si>
  <si>
    <t>ГБУЗ СК "ГКП №5", г.Ставрополя</t>
  </si>
  <si>
    <t>Договор №110/12-18 ИД от 19.12.2018г</t>
  </si>
  <si>
    <t>355007, Ставропольский край, город Ставрополь, Воронежская улица, 14 А Лепешкин Сергей Сергеевич 8-962-011-14-75</t>
  </si>
  <si>
    <t>ГБУЗ СК "Краевой Центр СВМП № 1",г.Буденновск</t>
  </si>
  <si>
    <t>356800, Ставропольский край, Буденновский район, город Буденновск, проспект Калинина, 2   Анна Николаевна Юрист
тел. 8-86559 2-23-19</t>
  </si>
  <si>
    <t>Договор №232310/108/12-18 ИД от 19.12.2018г</t>
  </si>
  <si>
    <t>Договор №105/10-18 ИД от 10.10.2018г</t>
  </si>
  <si>
    <t>355017, Ставропольский край, город Ставрополь, улица Мира, 278 Д, 14  Лагодин Павел Васильевич +7 9188760043</t>
  </si>
  <si>
    <t>ООО "Промед", г.Ставрополь</t>
  </si>
  <si>
    <t>ГБУЗ СК "ГКБ №3", г.Ставрополя</t>
  </si>
  <si>
    <t>355000, Ставропольский край, город Ставрополь, улица Ленина, 417  Ст. медсестра РО Лаптева Надежда Петровна 
8(8652) 56-13-76; 8-928-321-40-22</t>
  </si>
  <si>
    <t>Договор №80/12-18 ИД от 05.12.2018г</t>
  </si>
  <si>
    <t>ГБУЗ СК "ГКБ №2", г.Ставрополя</t>
  </si>
  <si>
    <t xml:space="preserve">355018, Ставропольский край, город Ставрополь, улица Балакирева, 5 Зав. РО Мария Олеговна 8-918-773-51-01 </t>
  </si>
  <si>
    <t>Договор №79 от 20.12.2018г</t>
  </si>
  <si>
    <t>ДОАО БМУ ЗАО "Ставропольтехмонтаж", Г.Буденновск</t>
  </si>
  <si>
    <t>Договор №112/10-18 ИД от 11.10.2018г</t>
  </si>
  <si>
    <t>356800, Ставропольский край, Буденновский район, город Буденновск, улица Розы Люксембург, 31   Мирошниченко Сергей Павлович 8-905-446-31-70</t>
  </si>
  <si>
    <t>ГБУЗ СК "СККПЦ", г.Ставрополь</t>
  </si>
  <si>
    <t>355000, Ставропольский край, город Ставрополь, улица Ломоносова, 44</t>
  </si>
  <si>
    <t>Договор №104/12-18 ИД от 19.12.2018г</t>
  </si>
  <si>
    <t>ООО "Апполония", г.Михайловск</t>
  </si>
  <si>
    <t>356240, Ставропольский край, Шпаковский район, город Михайловск, улица Ленина, 183 Виктория тел. 8 903 419 98 97</t>
  </si>
  <si>
    <t>Договор №103/09-18 ИД от 12.09.2018г</t>
  </si>
  <si>
    <t>ГБУЗ СК "Степновская РБ",с.Степное</t>
  </si>
  <si>
    <t>Договор №102/09-18 ИД от 16.10.2018г</t>
  </si>
  <si>
    <t>357930, Ставропольский край, Степновский район, село Степное, улица Додонова, 22 А   Эсмухамед Магомедович  тел. 8 928-828-04-14</t>
  </si>
  <si>
    <t>Договор №116/12-18 ИД от 25.12.2018г</t>
  </si>
  <si>
    <t>ГУП СК "ККДП "Хозрасчетная", г.Ставропль</t>
  </si>
  <si>
    <t>ГБУЗ СК "ГККДП" Г. Ставрополя</t>
  </si>
  <si>
    <t xml:space="preserve">355000, Ставропольский край, город Ставрополь, улица Серова, 281 А                Силенок Диана Александровна 8-918-797-82-13
</t>
  </si>
  <si>
    <t>355035, Ставропольский край, город Ставрополь, Советская улица, 6   Красноярова Светлана Владимировна                             8-962-400-45-28</t>
  </si>
  <si>
    <t>Договор №117/12-18 ИД от 25.12.2018г</t>
  </si>
  <si>
    <t>ООО "КДП" , г.Изобильный</t>
  </si>
  <si>
    <t>Договор №90/10-18 ИД от 04.10.2018г</t>
  </si>
  <si>
    <t>356140, Ставропольский край, Изобильненский район, город Изобильный, Промышленная улица, 1   Куксова Олеся Владимировна тел. 8-903-441-72-75</t>
  </si>
  <si>
    <t>ГБУЗ СК "Петровская РБ", г.Светлоград</t>
  </si>
  <si>
    <t>356530, Ставропольский край, Петровский район, город Светлоград, проспект Им Генерала Воробьева, 1                            Арендаренко Алла Александровна                     8 906- 468-03-22</t>
  </si>
  <si>
    <t>Договор №114/12-18 ИД от 24.12.2018г</t>
  </si>
  <si>
    <t>ГБУЗ СК "Новоалександровская РБ"</t>
  </si>
  <si>
    <t>356000, Ставропольский край, Новоалександровский район, город Новоалександровск, Больничный переулок, 1     Татьяна  8 962- 022-78-16</t>
  </si>
  <si>
    <t>Договор №111/10-18 ИД от 02.10.2018г</t>
  </si>
  <si>
    <t xml:space="preserve">Договор №87/12-18 ИД от 10.12.2018г     4кв 2018                    Договор №96/10-18 ИД от 14.12.2018г       1 кв 2019 </t>
  </si>
  <si>
    <t xml:space="preserve">Договор №89/10-18 ИД от 16.10.2018г     4кв 2018                    Договор №97/01-19 ИД от 10.01.2019г       1 кв 2019 </t>
  </si>
  <si>
    <t xml:space="preserve">ООО  "Пэтскан" </t>
  </si>
  <si>
    <t>Договор № 117/12-18 ИД от 29.12.2018</t>
  </si>
  <si>
    <t>ДТУ</t>
  </si>
  <si>
    <t>ДТЛ</t>
  </si>
  <si>
    <t>Внеш</t>
  </si>
  <si>
    <t>КОНТРАКТ № 0321300039818000158</t>
  </si>
  <si>
    <t xml:space="preserve"> Договор №96/10-18 ИД от 14.12.2018г       1 кв 2019 </t>
  </si>
  <si>
    <t xml:space="preserve">Договор №97/01-19 ИД от 10.01.2019г       1 кв 2019 </t>
  </si>
  <si>
    <t>Договор №121/01-19 ИД от 10.01.2019г</t>
  </si>
  <si>
    <t>7 утеряны</t>
  </si>
  <si>
    <t>Договор №   100/12/231357-18 ИД от 17.12.2018</t>
  </si>
  <si>
    <t>357850, Ставропольский край, Курский район, станица Курская, Ессентукская улица, 47     Сафарова Светлана Дерениковна 
8-903-418-63-50</t>
  </si>
  <si>
    <t>ГБУЗ СК "Курская РБ", ст.Курская</t>
  </si>
  <si>
    <r>
      <t>Договор №   100/01/</t>
    </r>
    <r>
      <rPr>
        <sz val="11"/>
        <rFont val="Calibri"/>
        <family val="2"/>
        <charset val="204"/>
        <scheme val="minor"/>
      </rPr>
      <t>238568</t>
    </r>
    <r>
      <rPr>
        <sz val="11"/>
        <color theme="1"/>
        <rFont val="Calibri"/>
        <family val="2"/>
        <scheme val="minor"/>
      </rPr>
      <t>-19 ИД от 11.01.2019</t>
    </r>
  </si>
  <si>
    <t>ООО "СКМУМЦ" , г.Ставрополь</t>
  </si>
  <si>
    <t>Договор №   125/10-18 ИД от 11.10.2018г</t>
  </si>
  <si>
    <t>Договор №   84/10-18 ИД от 16.10.2018г</t>
  </si>
  <si>
    <t xml:space="preserve">355000, Ставропольский край, город Ставрополь, улица Серова, 470/2 470/3           Локтев Александр Алексеевич  
 8-928-307-50-44  </t>
  </si>
  <si>
    <t>Договор №   120/10-18 ИД от 12.10.2018г</t>
  </si>
  <si>
    <t xml:space="preserve">355042, Ставропольский край, город Ставрополь, 2 Юго-Западный проезд, 2 Г, 66-71  Сергей Викторович т.8-962-444-03-16 </t>
  </si>
  <si>
    <t>ООО "Дом Стоматологии", г.Ставрополь</t>
  </si>
  <si>
    <t>ООО "Корона Дентис", г.Ставрополь</t>
  </si>
  <si>
    <t>ООО "Клиника Прима Дент", г.Ставрополь</t>
  </si>
  <si>
    <t>355012, Ставропольский край, город Ставрополь, улица Ленина, дом 74 корпус 17 Шестерова Александра Николаевна
8-906-493-17-80</t>
  </si>
  <si>
    <t>Договор  №126/10-18 ИД от 11.10.2018г</t>
  </si>
  <si>
    <t>355000, Ставропольский край, город Ставрополь, Пригородная улица, 224 А Владимир Иванович 8-962-402-61-79</t>
  </si>
  <si>
    <t>355000, Ставропольский край, город Ставрополь, улица Ленина, 287-3     Долгалева Людмила Анатольевна 
8 909 761 23 39</t>
  </si>
  <si>
    <t>ООО "НОВОДЕНТ", с.Кочубеевсое</t>
  </si>
  <si>
    <t xml:space="preserve">357001, Ставропольский край, Кочубеевский район, село Кочубеевское, улица Гагарина, дом 127  Пенькова Наталья Викторовна,
 8-928 631-83-57 </t>
  </si>
  <si>
    <t>Договор  №123/01-19 ИД от 10.01.2019г</t>
  </si>
  <si>
    <t>АНМО "СКККДЦ", г.Ставрополь</t>
  </si>
  <si>
    <t>355017, Ставропольский край, город Ставрополь, улица Ленина, 304   Вера Николаевна 8-962-450-86-52</t>
  </si>
  <si>
    <t>Договор №   109/12-18 ИД от 19.12.2018г</t>
  </si>
  <si>
    <t>121,  141, 142, 143</t>
  </si>
  <si>
    <t>ООО "Улыбка", г.Невинномысск</t>
  </si>
  <si>
    <t>Договор №   113/10-18 ИД от 11.10.2018г</t>
  </si>
  <si>
    <t>ООО"Доктормик"</t>
  </si>
  <si>
    <t>Договор  №107/07-18 ИД от 11.07.2018г</t>
  </si>
  <si>
    <t>ООО"Доктормик", г.Ипатово</t>
  </si>
  <si>
    <t>ГБУЗ СК "Изобильненская РСП", г.Изобильный</t>
  </si>
  <si>
    <t>Договор №   95/10-18 ИД от 05.10.2018</t>
  </si>
  <si>
    <t>356140, Ставропольский край, Изобильненский район, город Изобильный, Сиреневая улица, 29     Инна Николаевна рентгенолог  8-918-743-91-41</t>
  </si>
  <si>
    <t xml:space="preserve">356630, Ставропольский край, Ипатовский район, город Ипатово, Ленинградская улица, 54  Минко  Вячеслав Михайлович 89034467490 </t>
  </si>
  <si>
    <t>356630, Ставропольский край, Ипатовский район, город Ипатово, Ленинградская улица, 54  Минко  Вячеслав Михайлович, 8-903-446-74-90</t>
  </si>
  <si>
    <t>357111, Ставропольский край, город Невинномысск, Фабричный переулок, 15  Елена Владимировна 8-938-302-14-59 рентгенолог</t>
  </si>
  <si>
    <t>ГБУЗ СК "Советская РБ", г.Зеленокумск</t>
  </si>
  <si>
    <t>357910, Ставропольский край, Советский район, город Зеленокумск, Заводская улица, 34</t>
  </si>
  <si>
    <t>Договор №   124/01-19 ИД от 11.01.2019</t>
  </si>
  <si>
    <t>ГБУЗ СК "Арзгирская РБ"</t>
  </si>
  <si>
    <t>356571, Ставропольский край, Арзгирский район, село Арзгир, улица Кирова, 1   Рудакова Наталья Владимировна  8-906-461-62-20</t>
  </si>
  <si>
    <t>Договор №   118/01-19 ИД от 09.01.2019</t>
  </si>
  <si>
    <t>ООО "ВИКТОРИЯ", г.Ставрополь</t>
  </si>
  <si>
    <t>355000, Ставропольский край, город Ставрополь, п-к Макарова, 12/1Селескериди София Викторовна   8-928-818-45-47</t>
  </si>
  <si>
    <t>Договор №   132/10-18 ИД от 10.10.2018</t>
  </si>
  <si>
    <t>Договор №   95/01-19 ИД от 17.01.2019</t>
  </si>
  <si>
    <t>ООО "Поликлиника", г.Ставрополь</t>
  </si>
  <si>
    <t>355000, Ставропольский край, город Ставрополь, улица Л.Толстого, дом 156    Белкин Юрий Павлович  8-962-400-10-80</t>
  </si>
  <si>
    <t>Договор №   133/09-18 ИД от 03.09.2018</t>
  </si>
  <si>
    <t>ООО "ЛТД", г.Ставрополь</t>
  </si>
  <si>
    <t>355037, Ставропольский край, город Ставрополь, улица Доваторцев, 44 Б офис 76-77   Колосов Евгений Сергеевич
8-928-635-42-14</t>
  </si>
  <si>
    <t>Договор №   129/09-18 ИД от 14.09.2018</t>
  </si>
  <si>
    <t>355000, Ставропольский край, город Ставрополь, улица Мира, дом 216, офис 17  Колосов Евгений Сергеевич
8-928-635-42-14</t>
  </si>
  <si>
    <t>Договор №   130/09-18 ИД от 14.09.2018</t>
  </si>
  <si>
    <t>ИП Гусарова Юлия Витальевна</t>
  </si>
  <si>
    <t>г.Симферополь, ул. 60 лет Октября, 30</t>
  </si>
  <si>
    <t>Договор №   134/01-19 ИД от 18.01.2019</t>
  </si>
  <si>
    <t>ИП Цеков Евгений Сергеевич</t>
  </si>
  <si>
    <t>г.Симферополь, Трубаченко 24</t>
  </si>
  <si>
    <t>Договор №   135/01-19 ИД от 18.01.2019</t>
  </si>
  <si>
    <t>ИП Болонкин Кирилл Сергеевич</t>
  </si>
  <si>
    <t>295017, г. Симферополь, Грибоедова, 9</t>
  </si>
  <si>
    <t>Договор №   136/01-19 ИД от 18.01.2019</t>
  </si>
  <si>
    <t>ООО "Симед-Крым"</t>
  </si>
  <si>
    <t>295017 г. Симферополь, Грибоедова, 9</t>
  </si>
  <si>
    <t>Договор №   138/01-19 ИД от 18.01.2019</t>
  </si>
  <si>
    <t>ИП Падалица Татьяна Михайловна</t>
  </si>
  <si>
    <t xml:space="preserve">295013, г. Симферополь, Трубаченко, 24 </t>
  </si>
  <si>
    <t>Договор №   137/01-19 ИД от 18.01.2019</t>
  </si>
  <si>
    <t>Филиал ООО "МЕДИС", г.Буденновск</t>
  </si>
  <si>
    <t xml:space="preserve">356800, Ставропольский край, г. Будённовск,  микр-н 7/1, позиция 36  Богданова Марина Федоровна    8-905-411-04-28  </t>
  </si>
  <si>
    <t>Договор №   127/10-18 ИД  от 08.10.2018г</t>
  </si>
  <si>
    <t>ГАУЗ СК "Стоматологическая Поликлиника" Г. Нефтекумск</t>
  </si>
  <si>
    <t>356884, Ставропольский край, Нефтекумский район, город Нефтекумск, 2-й микрорайон, 31     Попов Алексей Николаевич 
    8-905-442-63-50</t>
  </si>
  <si>
    <t>Договор №   122/01-19 ИД  от 10.01.2019г</t>
  </si>
  <si>
    <t>ГБУЗ СК "Шпаковская РСП", г.Михайловск</t>
  </si>
  <si>
    <t>Договор №   134/01-19 ИД от 21.01.2019 (1,2 квартал)</t>
  </si>
  <si>
    <t>356240, Ставропольский край, Шпаковский район, город Михайловск, улица Ленина, дом 1/11  Наталья Ивановна 
8-988-709-04-33</t>
  </si>
  <si>
    <t>Договор №   134/01-19 ИД от 21.01.2019 (4 кв 2018 1,2 квартал 2019)</t>
  </si>
  <si>
    <t>ООО "ЦСС", г.Невинномысск</t>
  </si>
  <si>
    <t>357111, Ставропольский край, город Невинномысск, улица Калинина, 155 А  Спасова Ольга Александровна  
+7 (928)-316-49-26</t>
  </si>
  <si>
    <t>Договор №   128/09-18 ИД от 14.09.2018</t>
  </si>
  <si>
    <t>ООО "Витадент", г.Светлоград</t>
  </si>
  <si>
    <t>356537, Ставропольский край, Петровский район, город Светлоград, Выставочная площадь, 39/2</t>
  </si>
  <si>
    <t>Договор №   139/10-18 ИД от 10.10.2018</t>
  </si>
  <si>
    <t>356537, Ставропольский край, Петровский район, город Светлоград, Выставочная площадь, 39/2   Брагин Роман Иванович 8-928-005-02-43</t>
  </si>
  <si>
    <t>ООО "ЛТД+", г.Ставрополь</t>
  </si>
  <si>
    <t>ГБУЗ СК "ГДП № 3" Г. Ставрополя</t>
  </si>
  <si>
    <t>355040, Ставропольский край, город Ставрополь, улица Тухачевского, 17б  Евгений тел. 8-903-415-99-79</t>
  </si>
  <si>
    <t xml:space="preserve">Договор №   140/01-19 ИД от 22.01.2019 </t>
  </si>
  <si>
    <t>ООО "Дантист", г.Изобильный</t>
  </si>
  <si>
    <t>356140, Ставропольский край, Изобильненский район, город Изобильный, улица Ленина, 4</t>
  </si>
  <si>
    <t xml:space="preserve">Договор №   141/10-18 ИД от 02.10.2018 </t>
  </si>
  <si>
    <t>ООО "ПРАКТИК", г.Изобильный</t>
  </si>
  <si>
    <t>356146, Ставропольский край, Изобильненский район, город Изобильный, Колхозная улица, 22 А</t>
  </si>
  <si>
    <t xml:space="preserve">Договор №   142/10-18 ИД от 02.10.2018 </t>
  </si>
  <si>
    <t>Договор №101/01-19 ИД от 24.01.2019г</t>
  </si>
  <si>
    <t>ГБУЗ СК "Ипатовская РБ", г.Изобильный</t>
  </si>
  <si>
    <t>356630, Ставропольский край, Ипатовский район, город Ипатово, улица Гагарина, 123  Вячеслав Николаевич  8-918-763-05-18</t>
  </si>
  <si>
    <t>Договор №   119/01-19 ИД  от 09.01.2019г</t>
  </si>
  <si>
    <t>ГБУЗ СК "Красногвардейская РБ"</t>
  </si>
  <si>
    <t>356031, Ставропольский край, Красногвардейский район, село Красногвардейское, Ярмарочная улица, 1 Надежда Николаевна 8-905-443-49-33</t>
  </si>
  <si>
    <t>Договор №   239536/131/01-19 ИД  от 16.01.2019г</t>
  </si>
  <si>
    <t>Договор №394938-19STV от 24/01/2019г</t>
  </si>
  <si>
    <t>ООО "БЕЛЫЙ ПАРУС",г.Ставрополь</t>
  </si>
  <si>
    <t>355035, Ставропольский край, город Ставрополь, проспект Кулакова, дом 49 корпус 3, помещение 182-191   Бархатов Дмитрий Викторович +7 988 087-31-24</t>
  </si>
  <si>
    <t xml:space="preserve">Договор №   146/12-18 ИД от 05.12.2018 </t>
  </si>
  <si>
    <t>ООО "Исток", г.Светлоград</t>
  </si>
  <si>
    <t>356530, Ставропольский край, Петровский район, город Светлоград, улица Пушкина, 19 ФАК АДРЕС ул.Тургенева д.6А  Петрищева Марина Николаевна 8 988-850-80-80</t>
  </si>
  <si>
    <t xml:space="preserve">Договор №   148/10-18 ИД от 10.10.2018 </t>
  </si>
  <si>
    <t>1 утерян</t>
  </si>
  <si>
    <t>Договор № 245823 от 29.01.2019г</t>
  </si>
  <si>
    <t>Договор №80/01-19 ИД от 17.01.2019г</t>
  </si>
  <si>
    <t>Договор №143/01-19 ИД от 25.01.2019г  (ежемес)                           Договор №144/01-19 ИД от 25.01.2019г (ежекварт)</t>
  </si>
  <si>
    <t>3                       12</t>
  </si>
  <si>
    <t xml:space="preserve">ГБУЗ СК "Апанасенковская РБ" </t>
  </si>
  <si>
    <t>356720, Ставропольский край, Апанасенковский район, село Дивное, улица Кашубы, 2  Шевченко Ольга Ивановна 
+79620044747</t>
  </si>
  <si>
    <t>Дговор №246223 от 29.01.2019</t>
  </si>
  <si>
    <t>Гос контракт №352 от 12.11.2018г</t>
  </si>
  <si>
    <t>ГАУЗ СК "Городская Поликлиника № 3" Г. Ставрополя</t>
  </si>
  <si>
    <t>355000, Ставропольский край, город Ставрополь, проспект Юности, 42               Ирина Рудольфовна Польщикова
8-962-452-49-65</t>
  </si>
  <si>
    <t xml:space="preserve">Договор №   145/01-19 ИД от 09.01.2019 </t>
  </si>
  <si>
    <t>ООО "Центр Современной Стоматологии"</t>
  </si>
  <si>
    <t>355002, Ставропольский край, город Ставрополь, Партизанская улица, дом 2  Семенов Рашид Рамазанович
тел. 8-961-484-34-34</t>
  </si>
  <si>
    <t xml:space="preserve">Договор №   115/10-18 ИД от 10.10.2018 </t>
  </si>
  <si>
    <t>ГБУЗ СК "Грачёвская РБ"</t>
  </si>
  <si>
    <t xml:space="preserve">356250, Ставропольский край, Грачевский район, село Грачевка, Южная улица, 53  Зав. Р.О.Людмила Александровна
8-988-741-70-18 </t>
  </si>
  <si>
    <t xml:space="preserve">Договор №   247691  от 31.01.2019 </t>
  </si>
  <si>
    <t>Договор № 251956  от 06.02.2019г</t>
  </si>
  <si>
    <t>355000, Ставропольский край, город Ставрополь, улица Ломоносова, 44   Гурчинский Егор
8-918-886-88-68</t>
  </si>
  <si>
    <t>Договор №   145/02-19 ИД от 06.02.2019  на 1 полугодие</t>
  </si>
  <si>
    <t>Ставропольский край,
г. Ставрополь, ул. Семашко, 3/1  Нередько Вадим Александрович Зав. отделением
8-918-757-71-52     8-962-400-89-43</t>
  </si>
  <si>
    <t>Договор №76/02-19 ИД от 12.02.2019г</t>
  </si>
  <si>
    <t>ГБУЗ СК "ГКДСП" Г. Ставрополя</t>
  </si>
  <si>
    <t>355035, Ставропольский край, город Ставрополь, проспект Октябрьской Революции, 26-28  Зима Марина Александровна    8-962-432-98-45</t>
  </si>
  <si>
    <t xml:space="preserve">Договор №   253550  от 11.02.2019 </t>
  </si>
  <si>
    <t>Договор №254734 от 12.02.2019г на 1 полугодие</t>
  </si>
  <si>
    <t>355000, Ставропольский край, город Ставрополь, улица Серова, 521 Косова Светлана Фрутдиновна  8-928-225-42-76</t>
  </si>
  <si>
    <t>Договор №   109/02-19 ИД от 13.02.2019г</t>
  </si>
  <si>
    <t>сумма</t>
  </si>
  <si>
    <t>ООО "ВитаДент", г.Ставрополь</t>
  </si>
  <si>
    <t>Договор №153/10-18 от 16.10.2018</t>
  </si>
  <si>
    <t>ООО "КВИНТЭСС - ККСП" , г.Ставрополь</t>
  </si>
  <si>
    <t>Договор №154/10-18 от 16.10.2018</t>
  </si>
  <si>
    <t>355000, Ставропольский край, город Ставрополь, улица Мира, 338 А                  Малинина Ирина 8-918-747-49-20</t>
  </si>
  <si>
    <t>Отб+Зак</t>
  </si>
  <si>
    <t>№ прот</t>
  </si>
  <si>
    <t>С/А</t>
  </si>
  <si>
    <t>О/З</t>
  </si>
  <si>
    <t>О</t>
  </si>
  <si>
    <t>Контракт 264 до 31.03.2019г</t>
  </si>
  <si>
    <t>ГБУЗ СК "Левокумская РБ" , с.Левокумское</t>
  </si>
  <si>
    <t>Договор №138   от 20.02.2019</t>
  </si>
  <si>
    <t>Договор №138   от 20.02.2019 (4кв 2018; 1,2кв 2019) до 15.07.2019г</t>
  </si>
  <si>
    <t>357960, Ставропольский край, Левокумский район, село Левокумское, улица Гагарина, 5Зав. РО Александр Викторович 8-962-407-16-08</t>
  </si>
  <si>
    <t xml:space="preserve">Детская больница г. Невинномысск </t>
  </si>
  <si>
    <t>Договор № 259348 от 21.02.2019</t>
  </si>
  <si>
    <t>/З</t>
  </si>
  <si>
    <t>1 квартал</t>
  </si>
  <si>
    <t>2 квартал</t>
  </si>
  <si>
    <t>3 квартал</t>
  </si>
  <si>
    <t>4 квартал</t>
  </si>
  <si>
    <t>Дговор №246223 от 29.01.2019 (8 шт)                    Дговор №258925 от 20.02.2019 (2шт)</t>
  </si>
  <si>
    <t>Договор №72/02-19 ИД от 13.02.2019г</t>
  </si>
  <si>
    <t>НУЗ "Узловая Поликлиника на Ст. Ставрополь ОАО " РЖД", г.Ставрополь</t>
  </si>
  <si>
    <t xml:space="preserve">355008, Ставропольский край, город Ставрополь, улица Войтика, 2 А Ирина
тел. 8-928-309-31-51 Вера Николаевна юрист
8-8652-28-12-99
</t>
  </si>
  <si>
    <t>Договор №147/02-19 ИД    от 22.02.2019</t>
  </si>
  <si>
    <t>З/О</t>
  </si>
  <si>
    <t>ГБУЗ СК "Благодарненская РБ" , г.Благодарный</t>
  </si>
  <si>
    <t>356420, Ставропольский край, Благодарненский район, город Благодарный, улица Однокозова, 162  Лаборант 
Елена Петровна 8-903-413-89-59</t>
  </si>
  <si>
    <t>Договор №157/02-19 ИД    от 21.02.2019</t>
  </si>
  <si>
    <t>З</t>
  </si>
  <si>
    <t>192, 193</t>
  </si>
  <si>
    <t>2О</t>
  </si>
  <si>
    <t>З/В</t>
  </si>
  <si>
    <t>ГБУЗ СК "Туркменская РБ", с.Летняя Ставка</t>
  </si>
  <si>
    <t>356540, Ставропольский край, Туркменский район, село Летняя Ставка, Больничная улица, 5  Р.О. Владимир Иванович     8-903-446-67-62</t>
  </si>
  <si>
    <t>Договор №261020   от 27.02.2019</t>
  </si>
  <si>
    <t>ООО "Газпром трансгаз Ставрополь", г.Ставрополь</t>
  </si>
  <si>
    <t>355035, Ставропольский край, город Ставрополь, проспект Октябрьской Революции, дом 6   Алексей Витальевич
8-928-321-23-96</t>
  </si>
  <si>
    <t>Договор №165/03-19 ИД    от 06.03.2019</t>
  </si>
  <si>
    <t>О/З/В</t>
  </si>
  <si>
    <t>ГБУЗ СК "Ипатовская РБ", г.Ипатово</t>
  </si>
  <si>
    <t>ОБЩЕСТВО С ОГРАНИЧЕННОЙ ОТВЕТСТВЕННОСТЬЮ СТАВРОПОЛЬСКАЯ ГОРОДСКАЯ СТОМАТОЛОГИЧЕСКАЯ ПОЛИКЛИНИКА ИМЕНИ ПРОФЕССОРА АЛЕКСАНДРОВА</t>
  </si>
  <si>
    <t>Договор №166/01-19 ИД    от 17.01.2019</t>
  </si>
  <si>
    <t>Контракт 34А от 11.03.19</t>
  </si>
  <si>
    <t>нет</t>
  </si>
  <si>
    <t>З/В/О</t>
  </si>
  <si>
    <t>З/О/В</t>
  </si>
  <si>
    <t>355017, Ставропольский край, город Ставрополь, улица Мира, 278 Д, 14  Лагодин Павел Васильевич +7 962-401-17-46</t>
  </si>
  <si>
    <t>ООО "Газпром трансгаз Ставрополь", п.Рыздвяный</t>
  </si>
  <si>
    <t>356110, Ставропольский край, Изобильненский район, поселок Рыздвяный, Восточная улица, 4
Хитрова Наталья Николаевна
8-988-627-35-42</t>
  </si>
  <si>
    <t>О(к)</t>
  </si>
  <si>
    <t>Не действует</t>
  </si>
  <si>
    <t>2З/О</t>
  </si>
  <si>
    <t>ГБУЗ СК КСКИБ, г.Ставрополя</t>
  </si>
  <si>
    <t>ГБУЗ СК "Нефтекумская РБ", г.Нефтекумск</t>
  </si>
  <si>
    <t>Договор №34   от 25.03.2019</t>
  </si>
  <si>
    <t>356884, Ставропольский край, Нефтекумский район, город Нефтекумск, Транспортная улица, 22 Рентгенолог Татьяна  8-909-762-54-79</t>
  </si>
  <si>
    <t>АО "БМУ", Г.Буденновск</t>
  </si>
  <si>
    <t>Договор №112/03-19 ИД от 29.03.2019г</t>
  </si>
  <si>
    <t>О/В/З</t>
  </si>
  <si>
    <t>355021, Ставропольский край, город Ставрополь, Тюльпановая улица, дом 12/2  8-963-387-82-18 Ксения Викторовна</t>
  </si>
  <si>
    <t>356626, Ставропольский край, Ипатовский район, село Бурукшун, улица Мира, 64Медведева Наталья Ильинична 
8-961-480-04-42</t>
  </si>
  <si>
    <t>230-233</t>
  </si>
  <si>
    <t>ИП Ткаченко Наталья Николаевна</t>
  </si>
  <si>
    <t>г. Симферополь, Трубаченко, 24</t>
  </si>
  <si>
    <t>Договор №   170/04-19 ИД от 04.04.2019</t>
  </si>
  <si>
    <t>О/В</t>
  </si>
  <si>
    <t>В</t>
  </si>
  <si>
    <t>298655, Российская Федерация, Республика Крым, г. Ялта, пгт. Ливадия, ул. Виноградная, д. 12         Ст. Мс 8-978-777-54-24 Татьяна</t>
  </si>
  <si>
    <t>ООО "Стоматология", г.Ипатово</t>
  </si>
  <si>
    <t>357100, Ставропольский край, город Невинномысск, Крестьянская улица, 11  Татьяна  8-918-876-48-05</t>
  </si>
  <si>
    <t>Договор 10/01-19 ИД от 31.01.2019г на 1  полугодие 2019</t>
  </si>
  <si>
    <t>294
295</t>
  </si>
  <si>
    <t>299029, город Севастополь, проспект Генерала Острякова, дом 13а,</t>
  </si>
  <si>
    <t>Договор №   173/04-19 ИД от 12.04.2019</t>
  </si>
  <si>
    <t>409
410</t>
  </si>
  <si>
    <t>О/З/П</t>
  </si>
  <si>
    <t>Договор №167/03-19 ИД    от 21.03.2019</t>
  </si>
  <si>
    <t>О/В
Д.С.</t>
  </si>
  <si>
    <t>Не действует
 с 05.04.2019</t>
  </si>
  <si>
    <t>Договор №12/04-19 ИД от 16.04.2019г</t>
  </si>
  <si>
    <t>Договор № 333 ИД от 25.12.2018</t>
  </si>
  <si>
    <t xml:space="preserve">РГБЛПУ "Республиканская Стоматологическая Поликлиника" </t>
  </si>
  <si>
    <t>Договор №   177/04-19 ИД от 26.04.2019г</t>
  </si>
  <si>
    <t>РГБ ЛПУ «Республиканская детская стоматологическая поликлиника»</t>
  </si>
  <si>
    <t>Договор №   178/04-19 ИД от 29.04.2019г</t>
  </si>
  <si>
    <t>369000, республика Карачаево-Черкесская, город Черкесск, проспект Ленина, 52
Светлана  8-906-443-11-93</t>
  </si>
  <si>
    <t>Договор78/04-19 ИД от 12.04.2019г.</t>
  </si>
  <si>
    <t>185
299</t>
  </si>
  <si>
    <t>2О/З/В
О</t>
  </si>
  <si>
    <t>155
523</t>
  </si>
  <si>
    <t xml:space="preserve">ООО "Медфарм Крым" </t>
  </si>
  <si>
    <t>298330, республика Крым, город Керчь, улица Блюхера, дом 3</t>
  </si>
  <si>
    <t>Договор №   179/05-19 ИД от 17.05.2019</t>
  </si>
  <si>
    <t>Договор №  298655 от 21.05.2019</t>
  </si>
  <si>
    <t>ООО "Магнитно-Резонансная и Компьютерная Томография", г.Пенза</t>
  </si>
  <si>
    <t xml:space="preserve">357500, г. Пятигорск, ул. 1-я Бульварная ,д.47,  Луткова Александра Юрьевна, 
тел:8-905-466-5292                                                         </t>
  </si>
  <si>
    <t>Договор № 181/05-19 ИД от 22.05.2019г</t>
  </si>
  <si>
    <t>Срок действия договора, если меньше , чем на год</t>
  </si>
  <si>
    <t>Безсрочный</t>
  </si>
  <si>
    <t>ООО ДЦ «Клиника-Сити», г.Пенза</t>
  </si>
  <si>
    <t>355000, г. Ставрополь, ул. Ленина, 381  Попова Юлия тел.:+7(961)498-57-32 
Тебякина Светлана Владимировна 
 8-962-403-92-45</t>
  </si>
  <si>
    <t>Договор № 180/05-19 ИД от 22.05.2019г</t>
  </si>
  <si>
    <t>ООО "Газпром трансгаз Ставрополь", Камыш-Бурунское ЛПУМГ</t>
  </si>
  <si>
    <t xml:space="preserve">Российская Федерация, Ставропольский край, г. Нефтекумск а/я 5
,Оракова Зейнап Рашидовна 
тел. 8-86558-4-92-89
</t>
  </si>
  <si>
    <r>
      <t xml:space="preserve">Гос контракт №180 от 17.05.2019г до </t>
    </r>
    <r>
      <rPr>
        <sz val="11"/>
        <color rgb="FFFF0000"/>
        <rFont val="Calibri"/>
        <family val="2"/>
        <charset val="204"/>
        <scheme val="minor"/>
      </rPr>
      <t>20 декабря 2019</t>
    </r>
  </si>
  <si>
    <r>
      <t xml:space="preserve">Гос контракт №352 от 12.11.2018г </t>
    </r>
    <r>
      <rPr>
        <sz val="11"/>
        <color rgb="FFFF0000"/>
        <rFont val="Calibri"/>
        <family val="2"/>
        <charset val="204"/>
        <scheme val="minor"/>
      </rPr>
      <t>20 декабря 2019</t>
    </r>
  </si>
  <si>
    <t>ФКУЗ "МСЧ МВД России по Ставропольскому краю" г.Пятигорск</t>
  </si>
  <si>
    <t>о</t>
  </si>
  <si>
    <t>206.1</t>
  </si>
  <si>
    <t>3                       11</t>
  </si>
  <si>
    <t>Договор № 122/05-19 ИД от 23.05.2019г</t>
  </si>
  <si>
    <t>ИП Пенькова Н.В.</t>
  </si>
  <si>
    <t>Договор  №123/1/01-19 ИД от 16.01.2019г</t>
  </si>
  <si>
    <t xml:space="preserve">ООО "Зубная Клиника Локтева" 
 </t>
  </si>
  <si>
    <t>Договор № 183/04-19 ИД от 03.04.2019г</t>
  </si>
  <si>
    <t>207.1</t>
  </si>
  <si>
    <t>356530, Ставропольский край, Петровский район, город Светлоград, улица Калинина, 28,     Локтев Виктор Алексеевич
8-928-387-87-92</t>
  </si>
  <si>
    <t>О/ДС</t>
  </si>
  <si>
    <t>ООО "Авторская Стоматология Юлии Ворониной"</t>
  </si>
  <si>
    <t xml:space="preserve"> 355000, Ставропольский край, город Ставрополь, улица 50 лет ВЛКСМ, д. 93, оф. 135  Воронин Александр Юрьевич 
+7-918-880-63-14</t>
  </si>
  <si>
    <t>Договор №   185/06-19 ИД от 25.06.2019</t>
  </si>
  <si>
    <t>ООО " Белые Паруса"</t>
  </si>
  <si>
    <t>Договор № 186/06-19 ИД от 03.06.2019г</t>
  </si>
  <si>
    <t>357390, Ставропольский край, Предгорный район, станица Суворовская, улица Гагарина, дом 1в Олеся Касимова 
8-928-811-66-45</t>
  </si>
  <si>
    <t>356800, Ставропольский край, Буденновский район, город Буденновск, проспект Калинина, 2   Елена Юрьевна 
8-928-370-90-45</t>
  </si>
  <si>
    <t>726
727</t>
  </si>
  <si>
    <t>ГБУЗ СК"СККМПЦ" ("ГП № 4" Г. Ставрополя)</t>
  </si>
  <si>
    <t>355000, Ставропольский край, г. Ставрополь, ул. Мира, 236,16       Диана 8-922-280-48-33</t>
  </si>
  <si>
    <t>356146, Ставропольский край, Изобильненский район, город Изобильный, Колхозная улица, 22 А Глебов Сергей Васильевич тел. 8-905-490-30-84</t>
  </si>
  <si>
    <t>356140, Ставропольский край, Изобильненский район, город Изобильный, улица Ленина, 4 Глебов Сергей Васильевич
тел. 8-905-490-30-84</t>
  </si>
  <si>
    <t xml:space="preserve">356721,Россия, Ставропольский край, Апанасенковский район,  с. Дивное, 
ул. Шевченко, дом 37, дом 53 корпус 5  Полякова Алла Викторовна
тел. 7 919-742-56-91 </t>
  </si>
  <si>
    <t>1 кв</t>
  </si>
  <si>
    <t>2 кв</t>
  </si>
  <si>
    <t>344,354-356</t>
  </si>
  <si>
    <t>Республиканское государственное бюджетное лечебно-профилактическое учреждение «Республиканская детская многопрофильная больница»</t>
  </si>
  <si>
    <t>Договор №   187/07-19 ИД от 15.07.2019г</t>
  </si>
  <si>
    <t>ГБУЗ СК "Шпаковская РБ"</t>
  </si>
  <si>
    <t>Договор № 151/06-19 ИД от 14.06.2019г
Договор № 151/06-19 ИД от 17.06.2019г</t>
  </si>
  <si>
    <t>ГБУЗ СК "ККДП "Хозрасчетная", г.Ставропль</t>
  </si>
  <si>
    <t>Договор №116/04-19 ИД от 04.04.2019г 1 и 2 квартал 2019 (до 31.07.2019) Договор №116/07-19 ИД от 23.07.2019г 3 и 4 квартал 2019 (до 31.07.2019)</t>
  </si>
  <si>
    <t>О/О</t>
  </si>
  <si>
    <t>281.1
392</t>
  </si>
  <si>
    <t xml:space="preserve">
Договор №   145/07-19 ИД от 08.07.2019  на 1 полугодие до 15.01.2020г</t>
  </si>
  <si>
    <t>356240, Ставропольский край, Шпаковский район, город Михайловск, улица Ленина, 1, Левшина Татьяна   8-919-732-09-23</t>
  </si>
  <si>
    <t>281.2
393</t>
  </si>
  <si>
    <t>ООО "Зубная Фея"</t>
  </si>
  <si>
    <t>Договор №   06/01-19 ИД от 10.01.2019</t>
  </si>
  <si>
    <t>355000, Ставропольский край, город Ставрополь, улица Пирогова, дом 5/1 квартал 526, помещение 14 
8(928)815-15-75</t>
  </si>
  <si>
    <t>250.1
401</t>
  </si>
  <si>
    <t>Договор №102/02-19 ИД от 06.02.2019г
Договор №102/08-19 ИД от 01.08.2019г</t>
  </si>
  <si>
    <t>Договор №157/02-19 ИД    от 21.02.2019 1,2кв 2019
Договор №330691 от 31.07.2019 3,4 кв 2019 +6 изм</t>
  </si>
  <si>
    <t>Договор №254734 от 12.02.2019г на 1 полугодие
Договор №330817 от 31.07.2019г на 2 полугодие</t>
  </si>
  <si>
    <t>Договор №   189/01-19 ИД от 10.01.2019г</t>
  </si>
  <si>
    <t>ООО "КЛИНИКА "ВАШ ДОКТОР"</t>
  </si>
  <si>
    <t>369001, республика Карачаево-Черкесская, город Черкесск, Ставропольская улица, дом 40-а
Дмитрий 8-928-395-35-70</t>
  </si>
  <si>
    <t>3/О</t>
  </si>
  <si>
    <t>290.1
406</t>
  </si>
  <si>
    <t>905
906</t>
  </si>
  <si>
    <t xml:space="preserve">355042, Ставропольский край, город Ставрополь, улица 45 Параллель, дом 22 г, помещение 2
Елена Владимировна
8-962-664-03-70
</t>
  </si>
  <si>
    <t>ГБУЗ СК "Городская Поликлиника № 2" Г.Ставрополя</t>
  </si>
  <si>
    <t>Договор №  190/08-19 ИД от 12.08.2019</t>
  </si>
  <si>
    <t>355008, Ставропольский край, город Ставрополь, Старомарьевское шоссе, 3  Сидорова Светлана Стефановна
моб. 8-928-305-30-50</t>
  </si>
  <si>
    <t>З/В/З/О</t>
  </si>
  <si>
    <t xml:space="preserve">Договор №338155 от 21.08.2019г
</t>
  </si>
  <si>
    <t>Договор №111/01-19 ИД от 31.01.2019г</t>
  </si>
  <si>
    <t>Договор №   272614/03-19 ИД  от 21.03.2019г
Договор № 119/08-19 ИД от 22.08.2019</t>
  </si>
  <si>
    <t>Договор №138   от 20.02.2019 (4кв 2018; 1,2кв 2019) до 15.07.2019г
Договор №339072   от 26.08.2019 (3,4кв 2019)</t>
  </si>
  <si>
    <t>Договор №317433 от 26.06.2019г + ДС
2 полугодие</t>
  </si>
  <si>
    <t>ООО "ЛадаДент"</t>
  </si>
  <si>
    <t xml:space="preserve">Юр. адрес: 357111, Ставропольский край, город Невинномысск, улица Зорге, 130,
Факт. адрес: г. Невинномысск, ул. Гагарина, д. 7Ж. Евгения 8-999-379-12-38
</t>
  </si>
  <si>
    <t>Договор №21/03-18 ИД от 23.03.2018г.</t>
  </si>
  <si>
    <t>Договор №23/01-19 ИД от 18.01.2019г.</t>
  </si>
  <si>
    <t xml:space="preserve">355000, Ставропольский край, город Ставрополь, проспект Октябрьской Революции, 53    8-903-444-69-84 Оксана 
</t>
  </si>
  <si>
    <t xml:space="preserve">РГБУЗ "ЧГКБ" </t>
  </si>
  <si>
    <t>Договор №   14/02-19 ИК от 21.02.2019г</t>
  </si>
  <si>
    <t>369000, республика Карачаево-Черкесская, город Черкесск, улица Орджоникидзе, дом 22 Фатима Давлетовна 8-928-396-04-99</t>
  </si>
  <si>
    <t>Договор №262363 от 01.03.2019г
Договор №347814 от 16.09.2019г</t>
  </si>
  <si>
    <t xml:space="preserve">ООО "Аксиома-Ставрополь" </t>
  </si>
  <si>
    <t>фактический адрес: 355042, Ставропольский край, город Ставрополь, улица 50 лет ВЛКСМ, дом 28 "а", помещение 8 Михаил 8-962-447-04-88</t>
  </si>
  <si>
    <t>Договор № 192/09-19 ИД от 23.09.2019</t>
  </si>
  <si>
    <t>ДС/З/О</t>
  </si>
  <si>
    <t>Договор №94/02-19 ИД от 28.02.2019г до 15.07.2019
Договор №277 от 16.07.2019г до 31.12.2019</t>
  </si>
  <si>
    <t>1083
1084</t>
  </si>
  <si>
    <t>О/Р</t>
  </si>
  <si>
    <t xml:space="preserve">3 кв </t>
  </si>
  <si>
    <t xml:space="preserve">О </t>
  </si>
  <si>
    <t>456,
474-476</t>
  </si>
  <si>
    <t>О/У</t>
  </si>
  <si>
    <t>1198
1201 (979)</t>
  </si>
  <si>
    <t>4 кв</t>
  </si>
  <si>
    <t>1223
1224</t>
  </si>
  <si>
    <t>ГБУЗ СК "ККНД"</t>
  </si>
  <si>
    <t>Договор № 196/10-19 ИД от 22.10.2019</t>
  </si>
  <si>
    <t>355042,  г. Ставрополь, ул. Доваторцев, 54
Александр Васильевич
8-909-769-99-39</t>
  </si>
  <si>
    <t>356720, Ставропольский край, Апанасенковский район, село Дивное, улица Кашубы, 2  Шевченко Ольга Ивановна +79620044747; Слярова Наталья Владимировна 8-918-777-55-71</t>
  </si>
  <si>
    <t>В/З/О</t>
  </si>
  <si>
    <t>1253
У 1254
(979)</t>
  </si>
  <si>
    <t>В/О</t>
  </si>
  <si>
    <t>1281
1282</t>
  </si>
  <si>
    <t>ООО "Клиника Юлианы Сухорада"</t>
  </si>
  <si>
    <t>Договор №   195/03-19 ИД от 05.03.2019</t>
  </si>
  <si>
    <t>299011, город Севастополь, улица Ленина, дом 32б, офис 15-17
8-978-741-97-44</t>
  </si>
  <si>
    <t>356420, Ставропольский край, Благодарненский район, город Благодарный, улица Однокозова, 162  Лаборант 
Елена Петровна 8-962-491-82-33</t>
  </si>
  <si>
    <t>ООО "Виталиния М"</t>
  </si>
  <si>
    <t>Юр. адрес: 355040, Россия,Ставропольский край,  г. Ставрополь, М.Жукова пр-т, дом 8 офис 515, Ф. адрес:  г. Михайловск, ул. Ишкова, д. 92 
Маршалкин Филипп Анатольевич 8-928-962-447-37-20</t>
  </si>
  <si>
    <t>Договор № 188/08-19 ИД от 01.08.2019г</t>
  </si>
  <si>
    <t>1373
1374
1375</t>
  </si>
  <si>
    <t>ООО "3Д СТОМ"</t>
  </si>
  <si>
    <t>295000, Республика Крым, город Симферополь, улица Толстого, дом 14 
Метельская Надежда Павловна
8-978-720-91-37</t>
  </si>
  <si>
    <t>Договор №   197/11-19 ИД от 18.11.2019</t>
  </si>
  <si>
    <t>Договор №158/01-19 ИД от 01.01.2019г
Договор №158/04-19 ИД от 01.04.2019г
Договор №158/07-19 ИД от 01.07.2019г Д/С1, Д/С2</t>
  </si>
  <si>
    <t>369000, республика Карачаево-Черкесская, город Черкесск, улица Горького, дом 6 корпус а
Алексеенко Елена Анатольевна 
 8-8782-28 26 43</t>
  </si>
  <si>
    <t>Договор №74/01-19 ИД/242058 от 22.01.2019г (2019г)3шт
Договор №74/07-19 ИД от 01.07.2019г (3,4 кв2019г) 2шт</t>
  </si>
  <si>
    <t>1445
1146</t>
  </si>
  <si>
    <t>1449
1441в</t>
  </si>
  <si>
    <t xml:space="preserve"> Договор №96/11-19 ИД от 27.11.2019г       4 кв 2019 до 15.01.2020</t>
  </si>
  <si>
    <t xml:space="preserve">369010, Карачаево-Черкесская Республика,   г. Черкесск, ул. Грибоедова 77А
Марина Валерьевна Семенова
8-933-331-29-99
Оксана Петровна 8-8782-20-23-44
8-989-789-35-55
</t>
  </si>
  <si>
    <t xml:space="preserve">О/В </t>
  </si>
  <si>
    <t>В/В/О</t>
  </si>
  <si>
    <t>1473
1474</t>
  </si>
  <si>
    <t>З/О/В/Д</t>
  </si>
  <si>
    <r>
      <t xml:space="preserve">Договор №263199 от 01.03.2019г
Договор №303642  от 31.05.2019г
Договор №341094  от 28.08.2019г
</t>
    </r>
    <r>
      <rPr>
        <sz val="11"/>
        <rFont val="Calibri"/>
        <family val="2"/>
        <charset val="204"/>
        <scheme val="minor"/>
      </rPr>
      <t>Договор №380812  от 03.12.2019г</t>
    </r>
    <r>
      <rPr>
        <sz val="11"/>
        <color theme="1"/>
        <rFont val="Calibri"/>
        <family val="2"/>
        <scheme val="minor"/>
      </rPr>
      <t xml:space="preserve">
</t>
    </r>
  </si>
  <si>
    <t>ООО "Айсберг"</t>
  </si>
  <si>
    <t>357118, Ставропольский край, г.Невинномысск, ул.3 Интернационала д.5 офис 21 Владислав
8-962-420-25-46</t>
  </si>
  <si>
    <t>Договор №199/12-19 ИД от 17.12.2019г.</t>
  </si>
  <si>
    <r>
      <t xml:space="preserve">355000, Ставропольский край, город Ставрополь, улица Ломоносова, 44   Гурчинский Егор 8-918-886-88-68
</t>
    </r>
    <r>
      <rPr>
        <u/>
        <sz val="11"/>
        <color theme="1"/>
        <rFont val="Calibri"/>
        <family val="2"/>
        <charset val="204"/>
        <scheme val="minor"/>
      </rPr>
      <t>Александр 8-918-883-41-92</t>
    </r>
  </si>
  <si>
    <t>Договор №   239536/131/01-19 ИД  от 16.01.2019г + Д/С</t>
  </si>
  <si>
    <t>ООО "Дентис-М"</t>
  </si>
  <si>
    <t>Договор №   200/12-19 ИД от 20.12.2019</t>
  </si>
  <si>
    <t>1564
1566</t>
  </si>
  <si>
    <t>1546
1574</t>
  </si>
  <si>
    <t>1560
1580</t>
  </si>
  <si>
    <t>О/З/В/Дог</t>
  </si>
  <si>
    <t>Договор № 03/01-20 ИД от 09.01.2020г</t>
  </si>
  <si>
    <t>З/З/О</t>
  </si>
  <si>
    <t>Договор №272342 от 21.03.2019г (1 полугодие)
Договор №23-У от 21.06.2019г 3 кв на 4 дозиметра
Договор 51 от 23.12.2019</t>
  </si>
  <si>
    <t>ГБУЗ СК «Железноводская городская больница» ДОСТАВКА</t>
  </si>
  <si>
    <t>31
32</t>
  </si>
  <si>
    <t>Договор №79 от  06.05.2019 только 1 квартал
Договор №79 от  11.06.2019 только 2 квартал
Договор №79 от  09.09.2019 только 3 квартал
Договор №79/3 от  12.12.2019 только 4 квартал</t>
  </si>
  <si>
    <t>КОНТРАКТ № 0321300039818000158, 
Договор № 202/12-19 ИД от 30.12.2019г.</t>
  </si>
  <si>
    <t>РГБУЗ "КЦГРБ"</t>
  </si>
  <si>
    <t>Договор №  08/01-19 ИД от 15.02.2019г</t>
  </si>
  <si>
    <t>369200,  Карачаево-Черкесская  Республика, г.Карачаевск, ул. Магометова, 5,Эбзеев Ренат Хызырович
 8-922-455-70-21</t>
  </si>
  <si>
    <t>267.1</t>
  </si>
  <si>
    <t>401.1</t>
  </si>
  <si>
    <t>504.1</t>
  </si>
  <si>
    <t>ГБУЗ СК ГБ (ГП №2)</t>
  </si>
  <si>
    <t>ГБУЗ СК ГБ (ГДБ)</t>
  </si>
  <si>
    <t>ГБУЗ СК ГБ (ГП №1) г. Невинномысска</t>
  </si>
  <si>
    <t>ГБУЗ СК ГБ (ГБ) г. Невинномысска</t>
  </si>
  <si>
    <t>381.1</t>
  </si>
  <si>
    <r>
      <t xml:space="preserve">Договор №   134/01-19 ИД от 21.01.2019 (1,2 квартал)до 15.07.2019 
</t>
    </r>
    <r>
      <rPr>
        <sz val="11"/>
        <rFont val="Calibri"/>
        <family val="2"/>
        <charset val="204"/>
        <scheme val="minor"/>
      </rPr>
      <t>Договор №   134/11-19 ИД от 26.11.2019 (3,4 квартал)до 15.01.2020</t>
    </r>
  </si>
  <si>
    <t>ООО "Пульс"</t>
  </si>
  <si>
    <t>Договор № 19/02-20 ИД от 18.02.2020г</t>
  </si>
  <si>
    <r>
      <t xml:space="preserve">Договор №   253550  от 11.02.2019 
</t>
    </r>
    <r>
      <rPr>
        <sz val="11"/>
        <color rgb="FFFF0000"/>
        <rFont val="Calibri"/>
        <family val="2"/>
        <charset val="204"/>
        <scheme val="minor"/>
      </rPr>
      <t>Договор 152/10-19 ИД от 16.10.2019 (1доз-4кв2019)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rFont val="Calibri"/>
        <family val="2"/>
        <charset val="204"/>
        <scheme val="minor"/>
      </rPr>
      <t>Договор 152/02-20 ИД от 17.02.2020 (4кв)</t>
    </r>
  </si>
  <si>
    <t xml:space="preserve">ООО "Раддент"  </t>
  </si>
  <si>
    <t>Договор №   03/01-20 ИД от 09.01.2020</t>
  </si>
  <si>
    <t>ООО «ЭФАРМОН»</t>
  </si>
  <si>
    <t xml:space="preserve"> 299007, г. Севастополь, 
ул. Котовского, 39
</t>
  </si>
  <si>
    <t>Договор №   16/01-19 ИД от 09.01.2019</t>
  </si>
  <si>
    <t>196.1</t>
  </si>
  <si>
    <t>330.1</t>
  </si>
  <si>
    <t>448.1</t>
  </si>
  <si>
    <t>Договор №   18/03-20 ИД от 02.03.2020</t>
  </si>
  <si>
    <t>299055 г. Севастополь,  ул.Хрусталева, д. 84. Исп. 8-978-553-99-56 Колевзон Елена, Евгений Перевалов 8-978-983-78-76</t>
  </si>
  <si>
    <t>Договор 562906-20STV от 27.02.20г на 66 измерений по 950 руб/из.(1,2кв)</t>
  </si>
  <si>
    <t>ООО "Марсо-Медикал"</t>
  </si>
  <si>
    <t>Договор №   36/01-19 ИД от 09.01.2019</t>
  </si>
  <si>
    <t>ООО "Виадент"</t>
  </si>
  <si>
    <t>Договор №   37/01-19 ИД от 09.01.2019</t>
  </si>
  <si>
    <t>674
675</t>
  </si>
  <si>
    <t>ООО "Клиника Доктор Кит"</t>
  </si>
  <si>
    <t>Договор № 38/06-19 ИД от 03.06.2019</t>
  </si>
  <si>
    <r>
      <t xml:space="preserve">Договор № 402742 от 16.01.2020г </t>
    </r>
    <r>
      <rPr>
        <sz val="11"/>
        <color rgb="FFE43C94"/>
        <rFont val="Calibri"/>
        <family val="2"/>
        <charset val="204"/>
        <scheme val="minor"/>
      </rPr>
      <t>ДОСТАВКА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rFont val="Calibri"/>
        <family val="2"/>
        <charset val="204"/>
        <scheme val="minor"/>
      </rPr>
      <t>Договор № 413000 от 30.01.2020г</t>
    </r>
    <r>
      <rPr>
        <sz val="11"/>
        <color rgb="FFE43C94"/>
        <rFont val="Calibri"/>
        <family val="2"/>
        <charset val="204"/>
        <scheme val="minor"/>
      </rPr>
      <t xml:space="preserve"> ДОСТАВКА</t>
    </r>
  </si>
  <si>
    <t>Договор №   420027/ИД от 10.02.2020 (до 31.12.2020)</t>
  </si>
  <si>
    <t>Договор № 116/01-20 ИД от 09.01.2020г (до 31.12.2020)</t>
  </si>
  <si>
    <t>Договор № 384727 от 10.12.2019г.</t>
  </si>
  <si>
    <t xml:space="preserve">РГБУЗ "Малокарачаевская ЦРБ"  </t>
  </si>
  <si>
    <t>695
696
697
700</t>
  </si>
  <si>
    <t>О/В/В</t>
  </si>
  <si>
    <t>297
298</t>
  </si>
  <si>
    <t xml:space="preserve">Договору № 442626 от 01.04.2020г </t>
  </si>
  <si>
    <t>1кв2020</t>
  </si>
  <si>
    <t>2кв2020</t>
  </si>
  <si>
    <t>1кв 2020</t>
  </si>
  <si>
    <t>2 кв 2020</t>
  </si>
  <si>
    <t>ГБУЗ СК ГБ (ГБ№2)</t>
  </si>
  <si>
    <t>Д/О</t>
  </si>
  <si>
    <t>Д/О/З/В/В/В</t>
  </si>
  <si>
    <t>Договор № 61 от 01.04.2020 (до 30.04.2020)</t>
  </si>
  <si>
    <t xml:space="preserve">ООО "Кумай"  </t>
  </si>
  <si>
    <t>Договор №   04/01-19 ИД от 10.01.2019</t>
  </si>
  <si>
    <r>
      <t xml:space="preserve">356250, Ставропольский край, Грачевский район, село Грачевка, Южная улица, 53   </t>
    </r>
    <r>
      <rPr>
        <sz val="11"/>
        <color theme="1"/>
        <rFont val="Calibri"/>
        <family val="2"/>
        <charset val="204"/>
        <scheme val="minor"/>
      </rPr>
      <t>Гаджиев Абдула Гаджиевич
8-928-320-31-20</t>
    </r>
  </si>
  <si>
    <t>Бессрочный</t>
  </si>
  <si>
    <t>Контракт № 286-О от 30.03.2020г</t>
  </si>
  <si>
    <t>КОНТРАКТ №  13/03-20 ИД от 18.03.2020г</t>
  </si>
  <si>
    <t>414
415</t>
  </si>
  <si>
    <t>Договор №   09/01-20 ИД от 09.01.2020</t>
  </si>
  <si>
    <t>Договор №   05/01-20 ИД от 09.01.2020</t>
  </si>
  <si>
    <t>ДС/В/О</t>
  </si>
  <si>
    <t>О/З/В/Д</t>
  </si>
  <si>
    <t>Договор №21/01-20 ИД от 09.01.2020г.</t>
  </si>
  <si>
    <t>ООО "Газпром трансгаз Ставрополь", г.Георгиевск</t>
  </si>
  <si>
    <t>Договор №177/03-20 ИД от 24.03.2020 (до 31.12.2020)</t>
  </si>
  <si>
    <t>ООО "Медицинские Системы"</t>
  </si>
  <si>
    <t>Договор №   40/06-20 ИД от 08.06.2020</t>
  </si>
  <si>
    <t>Д/З</t>
  </si>
  <si>
    <t>00002</t>
  </si>
  <si>
    <t>00001</t>
  </si>
  <si>
    <t>00003</t>
  </si>
  <si>
    <t>00004</t>
  </si>
  <si>
    <t>00005</t>
  </si>
  <si>
    <t xml:space="preserve">ООО «Семейная стоматология»  </t>
  </si>
  <si>
    <t>Договор №   41/06-20 ИД от 22.06.2020</t>
  </si>
  <si>
    <t>00011</t>
  </si>
  <si>
    <t>00006</t>
  </si>
  <si>
    <t>00007</t>
  </si>
  <si>
    <t>00008</t>
  </si>
  <si>
    <t>00009</t>
  </si>
  <si>
    <t>00010</t>
  </si>
  <si>
    <t>551
552</t>
  </si>
  <si>
    <t>00016</t>
  </si>
  <si>
    <t>670.1</t>
  </si>
  <si>
    <t>00003.1</t>
  </si>
  <si>
    <t>00020</t>
  </si>
  <si>
    <t>00021</t>
  </si>
  <si>
    <t>00022
00023</t>
  </si>
  <si>
    <t>00024</t>
  </si>
  <si>
    <t>00019</t>
  </si>
  <si>
    <t>00013
00014
00015</t>
  </si>
  <si>
    <t>00026</t>
  </si>
  <si>
    <t>O/В</t>
  </si>
  <si>
    <t>00027</t>
  </si>
  <si>
    <t>00028</t>
  </si>
  <si>
    <t>00029</t>
  </si>
  <si>
    <t>00045
00046
00047
00048</t>
  </si>
  <si>
    <t>00049</t>
  </si>
  <si>
    <t>3 кв 2020</t>
  </si>
  <si>
    <t>ИП Летов И.И.</t>
  </si>
  <si>
    <t>Договор №65/07-20 ИД от 02.07.2020г</t>
  </si>
  <si>
    <t>263401052767</t>
  </si>
  <si>
    <t>00060</t>
  </si>
  <si>
    <t>О/Д</t>
  </si>
  <si>
    <t>00061</t>
  </si>
  <si>
    <t>00062</t>
  </si>
  <si>
    <t>00063</t>
  </si>
  <si>
    <t>00064</t>
  </si>
  <si>
    <t>00065
00066</t>
  </si>
  <si>
    <t>00067</t>
  </si>
  <si>
    <t>00074</t>
  </si>
  <si>
    <t>00068</t>
  </si>
  <si>
    <t>00069</t>
  </si>
  <si>
    <t>00070</t>
  </si>
  <si>
    <t>00071</t>
  </si>
  <si>
    <t>00072</t>
  </si>
  <si>
    <t>00073</t>
  </si>
  <si>
    <t>00076</t>
  </si>
  <si>
    <t>ООО "Эльдент"</t>
  </si>
  <si>
    <t>Договор №   26/01-20 ИД от 09.01.2019</t>
  </si>
  <si>
    <t>728.1</t>
  </si>
  <si>
    <t>00084</t>
  </si>
  <si>
    <t>Договор №   15/01-20 ИД от 09.01.2020г</t>
  </si>
  <si>
    <t>00083</t>
  </si>
  <si>
    <t>00017</t>
  </si>
  <si>
    <t>00018</t>
  </si>
  <si>
    <t>00044</t>
  </si>
  <si>
    <t>00075</t>
  </si>
  <si>
    <t>Договор № 27/01-20 ИД от 09.01.2020</t>
  </si>
  <si>
    <t>00085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</si>
  <si>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</si>
  <si>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</si>
  <si>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</si>
  <si>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</si>
  <si>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</si>
  <si>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</si>
  <si>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</si>
  <si>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</si>
  <si>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</si>
  <si>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</si>
  <si>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</si>
  <si>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</si>
  <si>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</si>
  <si>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</si>
  <si>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00109</t>
  </si>
  <si>
    <t>00110</t>
  </si>
  <si>
    <t>00111</t>
  </si>
  <si>
    <t>00113</t>
  </si>
  <si>
    <t>00112</t>
  </si>
  <si>
    <t>00114</t>
  </si>
  <si>
    <t>00115</t>
  </si>
  <si>
    <t>00116</t>
  </si>
  <si>
    <t>00082</t>
  </si>
  <si>
    <t>620
621 (В)</t>
  </si>
  <si>
    <t>Договор №184/01-20 ИД от 09.01.2020г (до 15.04.2020)
Договор №184/04-20 ИД от 09.04.2020г (до 15.07.2020)
Договор №184/07-20 ИД от 10.07.2020г (до 15.01.2021)</t>
  </si>
  <si>
    <t>00117</t>
  </si>
  <si>
    <t>00118</t>
  </si>
  <si>
    <t>00119</t>
  </si>
  <si>
    <t>00120</t>
  </si>
  <si>
    <t>00121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</si>
  <si>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</si>
  <si>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</si>
  <si>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</si>
  <si>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</si>
  <si>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</si>
  <si>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</si>
  <si>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</si>
  <si>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</si>
  <si>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</si>
  <si>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</si>
  <si>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639
684</t>
  </si>
  <si>
    <t>00136</t>
  </si>
  <si>
    <t>00137</t>
  </si>
  <si>
    <t>ООО «Бейрут Дента»</t>
  </si>
  <si>
    <t>Договор №   42/07-20 ИД от 15.07.2020 (до 31.12.2021г)</t>
  </si>
  <si>
    <t>Для обновления сумм: Ctlr+Alt+F9</t>
  </si>
  <si>
    <t>РО</t>
  </si>
  <si>
    <t>АО</t>
  </si>
  <si>
    <t>Срок</t>
  </si>
  <si>
    <t xml:space="preserve">Договор 72/01-20 ИД от 09.01.2020 </t>
  </si>
  <si>
    <t xml:space="preserve">Договор № 403222 от 16.01.2020г. </t>
  </si>
  <si>
    <t xml:space="preserve">Договор № 109/12-19 ИД от 03.12.2019г </t>
  </si>
  <si>
    <t xml:space="preserve">Договор №145/01-20 ИД от 09.01.2019 </t>
  </si>
  <si>
    <t xml:space="preserve">Договор №141/12-19 ИД </t>
  </si>
  <si>
    <t xml:space="preserve">Договор №99/02-20 ИД от 17.02.2020 </t>
  </si>
  <si>
    <t xml:space="preserve">Договор  № 543275-20STV от 20.02.2020г </t>
  </si>
  <si>
    <t xml:space="preserve">Договор  №121/12-19 ИД от 06.12.2019г </t>
  </si>
  <si>
    <t>Договор  № 407881 от 24.01.2020г</t>
  </si>
  <si>
    <t xml:space="preserve">Договор 152/03-20 ИД 02.03.2020г </t>
  </si>
  <si>
    <t xml:space="preserve">Договор № 410549
от  28.01.2020 г. ЭЦП
</t>
  </si>
  <si>
    <t>Договор № 393867 от 24.12.2019</t>
  </si>
  <si>
    <t xml:space="preserve">Договор №78/01-20 ИД от 09.01.2020 </t>
  </si>
  <si>
    <t xml:space="preserve">Контракт № 656 от 31.10.2019г </t>
  </si>
  <si>
    <t xml:space="preserve">Договор 243 от 02.12.2019 </t>
  </si>
  <si>
    <t xml:space="preserve">Договор №   79 от 01.04.2020 (1 квартал 2020г)
Договор №   612281 от 20.07.2020 </t>
  </si>
  <si>
    <t xml:space="preserve">Договор №   440131 от 24.03.2020 </t>
  </si>
  <si>
    <t>Договор № 439596/140 от 23.03.2020</t>
  </si>
  <si>
    <t xml:space="preserve">Договор №   439926  от 23.03.2020г </t>
  </si>
  <si>
    <t>Договор № 439956 от 25.03.2020</t>
  </si>
  <si>
    <t>Договор №95/01-20 ИД от 09.01.2020</t>
  </si>
  <si>
    <t xml:space="preserve">Договор 446022/03-20 ИД от 30.03.2020 </t>
  </si>
  <si>
    <t>Договор №131/01-20 ИД от 10.01.2020</t>
  </si>
  <si>
    <t xml:space="preserve">Договор №97/12-19 ИД от 13.12.2019 </t>
  </si>
  <si>
    <t>ООО «Газпром Трансгаз Ставрополь» Изобильненское ЛПУМГ</t>
  </si>
  <si>
    <t>Договор № 101/08-20 ИК от 01.08.2020г</t>
  </si>
  <si>
    <t>Договор №  577498-20STV от 27.03.2020г</t>
  </si>
  <si>
    <t>15.01.2021г</t>
  </si>
  <si>
    <t xml:space="preserve">Договор № 156/04-20 ИД от 06.04.2020г.
Договор № 156/07-20 ИД от 16.07.2020г. </t>
  </si>
  <si>
    <t xml:space="preserve">Договор №24/03-20 ИД от 13.04.2020г </t>
  </si>
  <si>
    <t xml:space="preserve">Договор №286 от 09.01.2020 </t>
  </si>
  <si>
    <t xml:space="preserve">Договор №52 от 19.12.2019 </t>
  </si>
  <si>
    <t xml:space="preserve">Договор № 102/03-20 ИД от 17.03.2020г.(1 кв 2020)
Договор № 102/07-20 ИД от 14.07.2020г.(3,4 квартал))
</t>
  </si>
  <si>
    <t>Договор № 182/03-20 ИД от 12.03.2020г</t>
  </si>
  <si>
    <t>Договор №   178/01-20 ИД от 09.01.2020г (до 31.12.2020г)</t>
  </si>
  <si>
    <t>20.01.2021г</t>
  </si>
  <si>
    <t xml:space="preserve">Договор №  08/01-20 ИД от 15.01.2020г </t>
  </si>
  <si>
    <t>31.12.2020г</t>
  </si>
  <si>
    <t>Договор №  39/01-20 ИД от 09.01.2020г</t>
  </si>
  <si>
    <t>ООО "Техмед"</t>
  </si>
  <si>
    <t>Договор №   02/01-20 ИД от 09.01.2020</t>
  </si>
  <si>
    <t>00143</t>
  </si>
  <si>
    <t>00144</t>
  </si>
  <si>
    <t>00141</t>
  </si>
  <si>
    <t>00145</t>
  </si>
  <si>
    <t>ООО "Династия"</t>
  </si>
  <si>
    <t>Договор №   31/01-20 ИД от 09.01.2020</t>
  </si>
  <si>
    <t>+</t>
  </si>
  <si>
    <t>00146</t>
  </si>
  <si>
    <t>00147</t>
  </si>
  <si>
    <t>00148</t>
  </si>
  <si>
    <t>00149</t>
  </si>
  <si>
    <t>00150</t>
  </si>
  <si>
    <t>00151</t>
  </si>
  <si>
    <t>00153</t>
  </si>
  <si>
    <t>00154</t>
  </si>
  <si>
    <t>00152</t>
  </si>
  <si>
    <t>00155</t>
  </si>
  <si>
    <t>00166</t>
  </si>
  <si>
    <t>00167</t>
  </si>
  <si>
    <t>00168</t>
  </si>
  <si>
    <t>00180</t>
  </si>
  <si>
    <t>00179</t>
  </si>
  <si>
    <t>00201</t>
  </si>
  <si>
    <t>357101, Ставропольский край, город Невинномысск, улица Шевченко, 7;                   8-928-818-28-30 Елена Валерьевна</t>
  </si>
  <si>
    <t>357112, Ставропольский край, город Невинномысск, Клубный переулок, 8;  8-928-820-68-17 Гл. медсестра. Ирина Анатольевна</t>
  </si>
  <si>
    <t>357100, Ставропольский край, город Невинномысск, Крестьянская улица, 11;  Татьяна  8-918-876-48-05</t>
  </si>
  <si>
    <t>357113, Ставропольский край, город Невинномысск, Трудовая улица, 84;  Ольга Гавриловна Рентген лаборант 8-919-754-70-05
Генадий Кузмич 8-918-759-27-84</t>
  </si>
  <si>
    <t>357107 Ставропольский край, г.Невинномысск, ул.Низяева, 1; Галина Викторовна 8-905-496-20-13</t>
  </si>
  <si>
    <t>357100, Ставропольский край, город Невинномысск, Северная улица, 4 а;    8-928-013-66-49</t>
  </si>
  <si>
    <t>357111, Ставропольский край, город Невинномысск, Фабричный переулок, 15;  Елена Владимировна 8-938-302-14-59 рентгенолог</t>
  </si>
  <si>
    <t>357111, Ставропольский край, город Невинномысск, улица Калинина, 155 А;  Спасова Ольга Александровна  
+7 (928)-316-49-26</t>
  </si>
  <si>
    <t xml:space="preserve">357100, Ставропольский край, город Невинномысск, бульвар Мира, 18 А, 23;   8-928-264-63-14 Юля </t>
  </si>
  <si>
    <t>357111, Ставропольский край, город Невинномысск, Монтажная улица, 14;   8-928-308-94-73  Михаил</t>
  </si>
  <si>
    <t>357108, Ставропольский край, город Невинномысск, улица Менделеева, 5; Богдан Ольга Александровна 8-928-339-32-76</t>
  </si>
  <si>
    <t xml:space="preserve">Юр. адрес: 357111, Ставропольский край, город Невинномысск, улица Зорге, 130,
Факт. адрес: г. Невинномысск, ул. Гагарина, д. 7Ж; Евгения 8-999-379-12-38
</t>
  </si>
  <si>
    <t>357118, Ставропольский край, г.Невинномысск, ул.3 Интернационала д.5 офис 21; Владислав
8-962-420-25-46</t>
  </si>
  <si>
    <t xml:space="preserve">357034, Ставропольский край, Кочубеевский район, поселок Тоннельный, улица Королева, 84;   Ольга Леонидовна
тел. 8 905-467-37-82  Уманская Марианна Владимировна тел. 8 909-773-68-48 
 </t>
  </si>
  <si>
    <t xml:space="preserve">357001, Ставропольский край, Кочубеевский район, село Кочубеевское, улица Гагарина, дом 127;  Пенькова Наталья Викторовна,
 8-928 631-83-57 </t>
  </si>
  <si>
    <t>355017, Ставропольский край, город Ставрополь, улица Ленина, 304;   Вера Николаевна 8-962-450-86-52</t>
  </si>
  <si>
    <t>355000, Ставропольский край, город Ставрополь, проспект Юности, 42;               Ирина Рудольфовна Польщикова
8-962-452-49-65</t>
  </si>
  <si>
    <t>355000, Ставропольский край, город Ставрополь, улица Руставели, 34 А; Пономаренко Галина Курбановна 8-918-866-29-47</t>
  </si>
  <si>
    <t xml:space="preserve">355037, Ставропольский край, город Ставрополь, улица Доваторцев, дом 50; корпус 2  Гл. мед сестра Инна Николаевна  
тел. 8-962-455-01-32 </t>
  </si>
  <si>
    <t>355002, Ставропольский край, город Ставрополь, улица Пономарева, 5;            Людмила Сергеевна тел. 8-909-758-60-34</t>
  </si>
  <si>
    <t>355017, Ставропольский край, город Ставрополь, улица Маршала Жукова, 50; Строкова Ирина Дмитриевна +7 962 420 08 02</t>
  </si>
  <si>
    <t>355040, Ставропольский край, город Ставрополь, улица Тухачевского, 17б;  Евгений тел. 8-903-415-99-79</t>
  </si>
  <si>
    <t>355000, Ставропольский край, город Ставрополь, улица Ленина, 417;  Ст. медсестра РО Лаптева Надежда Петровна 
8(8652) 56-13-76; 8-928-321-40-22</t>
  </si>
  <si>
    <t>355007, Ставропольский край, город Ставрополь, Воронежская улица, 14 А; Лепешкин Сергей Сергеевич 8-962-011-14-75</t>
  </si>
  <si>
    <t>Ставропольский край,
г. Ставрополь, ул. Семашко, 3/1;  Нередько Вадим Александрович Зав. отделением
8-918-757-71-52     8-962-400-89-43</t>
  </si>
  <si>
    <r>
      <t xml:space="preserve">355000, Ставропольский край, город Ставрополь, улица Ломоносова, 44;  Гурчинский Егор 8-918-886-88-68
</t>
    </r>
    <r>
      <rPr>
        <u/>
        <sz val="11"/>
        <color theme="1"/>
        <rFont val="Calibri"/>
        <family val="2"/>
        <charset val="204"/>
        <scheme val="minor"/>
      </rPr>
      <t>Александр 8-918-883-41-92</t>
    </r>
  </si>
  <si>
    <t>355000, Ставропольский край, город Ставрополь, улица Ленина, 441;   Фомченко Татьяна Евсеевна  8-918-784-86-99</t>
  </si>
  <si>
    <t>356240, Ставропольский край, Шпаковский район, город Михайловск, улица Ленина, дом 1/11;  Наталья Ивановна 
8-988-709-04-33</t>
  </si>
  <si>
    <t>355003, Ставропольский край, город Ставрополь, улица Ломоносова, 5; Гвоздева Елена Геннадьевна 8-918-747-22-92</t>
  </si>
  <si>
    <t>355000, Ставропольский край, город Ставрополь, улица Серова, 521; Косова Светлана Фрутдиновна  8-928-225-42-76</t>
  </si>
  <si>
    <t>355000, Ставропольский край, город Ставрополь, Октябрьская улица, 159;             Елена Григорьевана 8-928-300-60-84</t>
  </si>
  <si>
    <t>356240, Ставропольский край, Шпаковский район, город Михайловск, улица Ленина, 183; Виктория тел. 8 903 419 98 97</t>
  </si>
  <si>
    <t>355035, Ставропольский край, город Ставрополь, проспект Кулакова, дом 49 корпус 3, помещение 182-191;   Бархатов Дмитрий Викторович +7 988 087-31-24</t>
  </si>
  <si>
    <t>г. Ставрополь, ул. Ленина, д. 482/1, кв. 27;
Летов Иван Иванович 8-903-445-20-85</t>
  </si>
  <si>
    <t>355000, Ставропольский край, город Ставрополь, п-к Макарова, 12/1; Селескериди София Викторовна   8-928-818-45-47</t>
  </si>
  <si>
    <t>355000, Ставропольский край, город Ставрополь, улица Мира, 338 А;                  Малинина Ирина 8-918-747-49-20</t>
  </si>
  <si>
    <t xml:space="preserve">355000, Ставропольский край, город Ставрополь, проспект Юности, 5 МОД: 355000,г.Ставрополь,ул. Лермонтова, д.239/5; Валерия 8 928 306 2004 </t>
  </si>
  <si>
    <t xml:space="preserve">355000, Ставропольский край, город Ставрополь, улица Серова, 470/2 470/3;           Локтев Александр Алексеевич  
 8-928-307-50-44  </t>
  </si>
  <si>
    <t xml:space="preserve">355042, Ставропольский край, город Ставрополь, улица 50 лет ВЛКСМ, дом 53 корпус 5;  Директор Бугзель Борис Георгиевич 
тел. 8-962-454-92-92 </t>
  </si>
  <si>
    <t xml:space="preserve">355000, Ставропольский край, город Ставрополь, Мастеровая улица, 28; Володина Наталья Ивановна тел. 8 903 444 06 97 </t>
  </si>
  <si>
    <t>355012, Ставропольский край, город Ставрополь, улица Ленина, дом 74 корпус 17; Шестерова Александра Николаевна
8-905-497-13-72</t>
  </si>
  <si>
    <t xml:space="preserve">355042, Ставропольский край, город Ставрополь, 2 Юго-Западный проезд, 2 Г, 66-71;  Сергей Викторович т.8-962-444-03-16 </t>
  </si>
  <si>
    <t>355000, Ставропольский край, город Ставрополь, проспект К.Маркса, 76 Б;  Лаврентьева Христина Георгиевна 8-962-403-24-27</t>
  </si>
  <si>
    <t>355037, Ставропольский край, город Ставрополь, улица Доваторцев, 44 Б офис 76-77;   Колосов Евгений Сергеевич
8-928-635-42-14</t>
  </si>
  <si>
    <t>355000, Ставропольский край, город Ставрополь, улица Мира, дом 216, офис 17;  Колосов Евгений Сергеевич
8-928-635-42-14</t>
  </si>
  <si>
    <t>355000, Ставропольский край, город Ставрополь, улица Л.Толстого, дом 156;    Белкин Юрий Павлович  8-962-400-10-80</t>
  </si>
  <si>
    <t>355017, Ставропольский край, город Ставрополь, улица Мира, 278 Д, 14;  Лагодин Павел Васильевич +7 962-401-17-46</t>
  </si>
  <si>
    <t>355000, Ставропольский край, город Ставрополь, улица Доваторцев, дом 59а, офис 18;  8(961)499-59-79</t>
  </si>
  <si>
    <t>355000, Ставропольский край, город Ставрополь, улица Ленина, 287-3;     Долгалева Людмила Анатольевна 
8 909 761 23 39</t>
  </si>
  <si>
    <t>355035, Ставропольский край, город Ставрополь, улица Спартака, дом 2, помещение 312;  Бабенкова Анна Алексеевна 8 962-446-74-47</t>
  </si>
  <si>
    <t>355002, Ставропольский край, город Ставрополь, Партизанская улица, дом 2;  Семенов Рашид Рамазанович
тел. 8-961-484-34-34</t>
  </si>
  <si>
    <t xml:space="preserve">355000, Ставропольский край, город Ставрополь, проспект Октябрьской Революции, 30;   Захаров Геннадий Петрович 8-928-815-00-05 
</t>
  </si>
  <si>
    <t>355000, Ставропольский край, город Ставрополь, улица Пирогова, 30 А; Слетова Анжела Рубеновна 8-905-498-01-51</t>
  </si>
  <si>
    <t xml:space="preserve">355000, Ставропольский край, город Ставрополь, проспект Октябрьской Революции, 53;    8-8652 30-44-75 Эльвира Петровна ответственная за дозиметры
</t>
  </si>
  <si>
    <t xml:space="preserve">355000, Ставропольский край, город Ставрополь, проспект Октябрьской Революции, 53;    8-903-444-69-84 Оксана 
</t>
  </si>
  <si>
    <t xml:space="preserve">355008, Ставропольский край, город Ставрополь, улица Войтика, 2 А; Ирина
тел. 8-928-309-31-51 Вера Николаевна юрист
8-8652-28-12-99
</t>
  </si>
  <si>
    <t xml:space="preserve">355000, Ставропольский край, город Ставрополь, улица Серова, 281 А;                Силенок Диана Александровна 8-918-797-82-13
</t>
  </si>
  <si>
    <t>355035, Ставропольский край, город Ставрополь, проспект Октябрьской Революции, дом 6;   Алексей Витальевич
8-928-321-23-96</t>
  </si>
  <si>
    <t xml:space="preserve">355018, Ставропольский край, город Ставрополь, улица Балакирева, 5; Зав. РО Мария Олеговна 8-918-773-51-01 </t>
  </si>
  <si>
    <t>355000, Ставропольский край, город Ставрополь, улица Тухачевского, 17;            Зав. РО Павлова Ольга Михайловна 8-962-442-10-90</t>
  </si>
  <si>
    <t>355035, Ставропольский край, город Ставрополь, Советская улица, 6;   Красноярова Светлана Владимировна                             8-962-400-45-28</t>
  </si>
  <si>
    <t xml:space="preserve"> 355000, Ставропольский край, город Ставрополь, улица 50 лет ВЛКСМ, д. 93, оф. 135;  Воронин Александр Юрьевич 
+7-918-880-63-14</t>
  </si>
  <si>
    <t>355000, Ставропольский край, город Ставрополь, улица Пирогова, дом 5/1 квартал 526, помещение 14; 
8(928)815-15-75</t>
  </si>
  <si>
    <t>355008, Ставропольский край, город Ставрополь, Старомарьевское шоссе, 3;  Сидорова Светлана Стефановна
моб. 8-928-305-30-50</t>
  </si>
  <si>
    <t>фактический адрес: 355042, Ставропольский край, город Ставрополь, улица 50 лет ВЛКСМ, дом 28 "а", помещение 8; Михаил 8-962-447-04-88</t>
  </si>
  <si>
    <t>355042, Ставропольский край, город Ставрополь, улица Доваторцев, 53 б;
Щербакова Елена Александровна, тел.
 8-968-268-01-45</t>
  </si>
  <si>
    <t>356720, Ставропольский край, Апанасенковский район, село Дивное, улица Кашубы, 2;  Шевченко Ольга Ивановна +79620044747; Анатолий Алексеевич 8-905-411-72-31</t>
  </si>
  <si>
    <t>356571, Ставропольский край, Арзгирский район, село Арзгир, улица Кирова, 1;   Рудакова Наталья Владимировна  8-906-461-62-20</t>
  </si>
  <si>
    <t>356250, Ставропольский край, Грачевский район, село Грачевка, Южная улица, 53;  Гаджиев Абдула Гаджиевич
8-928-320-31-20</t>
  </si>
  <si>
    <t>356140, Ставропольский край, Изобильненский район, город Изобильный, Сиреневая улица, 29;     Инна Николаевна рентгенолог  8-918-743-91-41</t>
  </si>
  <si>
    <t>356630, Ставропольский край, Ипатовский район, город Ипатово, улица Гагарина, 123;  Вячеслав Николаевич  8-918-763-05-18</t>
  </si>
  <si>
    <t>356031, Ставропольский край, Красногвардейский район, село Красногвардейское, Ярмарочная улица, 1; Надежда Николаевна 8-905-443-49-33</t>
  </si>
  <si>
    <t>356626, Ставропольский край, Ипатовский район, село Бурукшун, улица Мира, 64; Медведева Наталья Ильинична 
8-961-480-04-42</t>
  </si>
  <si>
    <t>357960, Ставропольский край, Левокумский район, село Левокумское, улица Гагарина, 5Зав; РО Александр Викторович 8-962-407-16-08</t>
  </si>
  <si>
    <t>357910, Ставропольский край, Советский район, город Зеленокумск, Заводская улица, 34;</t>
  </si>
  <si>
    <t>356537, Ставропольский край, Петровский район, город Светлоград, Выставочная площадь, 39/2;   Брагин Роман Иванович 8-928-005-02-43</t>
  </si>
  <si>
    <t>356140, Ставропольский край, Изобильненский район, город Изобильный, улица Ленина, 4; Глебов Сергей Васильевич
тел. 8-905-490-30-84</t>
  </si>
  <si>
    <t>356140, Ставропольский край, Изобильненский район, город Изобильный, Западная улица, 80 Б;  Кириллова Татьяна Алексеевна 
тел. +7-961-459-74-00</t>
  </si>
  <si>
    <t>356530, Ставропольский край, Петровский район, город Светлоград, улица Пушкина, 19 ФАК АДРЕС ул.Тургенева д.6А;  Петрищева Марина Николаевна 8 988-850-80-80</t>
  </si>
  <si>
    <t>356140, Ставропольский край, Изобильненский район, город Изобильный, Промышленная улица, 1;   Куксова Олеся Владимировна тел. 8-903-441-72-75</t>
  </si>
  <si>
    <t>356146, Ставропольский край, Изобильненский район, город Изобильный, Колхозная улица, 22 А; Глебов Сергей Васильевич тел. 8-905-490-30-84</t>
  </si>
  <si>
    <t xml:space="preserve">356721,Россия, Ставропольский край, Апанасенковский район,  с. Дивное, 
ул. Шевченко, дом 37, дом 53 корпус 5;  Полякова Алла Викторовна
тел. 7 919-742-56-91 </t>
  </si>
  <si>
    <t>356630, Ставропольский край, Ипатовский район, г. Ипатово, ул. Гагарина, д. 17 в;            Руденко Андрей Николаевич 8-961-470-81-60</t>
  </si>
  <si>
    <t>356630, Ставропольский край, Ипатовский район, город Ипатово, Ленинградская улица, 54;  Минко  Вячеслав Михайлович, 8-903-446-74-90</t>
  </si>
  <si>
    <t xml:space="preserve">356800, Ставропольский край, г. Будённовск,  микр-н 7/1, позиция 36;  Богданова Марина Федоровна    8-905-411-04-28  </t>
  </si>
  <si>
    <t>356420, Ставропольский край, Благодарненский район, город Благодарный, улица Однокозова, 162;  Лаборант 
Елена Петровна 8-962-491-82-33</t>
  </si>
  <si>
    <t>356540, Ставропольский край, Туркменский район, село Летняя Ставка, Больничная улица, 5;  Р.О. Владимир Иванович     8-903-446-67-62</t>
  </si>
  <si>
    <t>356110, Ставропольский край, Изобильненский район, поселок Рыздвяный, Восточная улица, 4;
Хитрова Наталья Николаевна
8-988-627-35-42</t>
  </si>
  <si>
    <t xml:space="preserve">357820, Российская Федерация, Ставропольский край, г. Георгиевск, а/я 13;  Мирошниченко Александр Григорьевич 8-87951-46-2-69  </t>
  </si>
  <si>
    <t>369400, республика Карачаево-Черкесская, Хабезский район, аул Хабез, Больничная улица, дом 6;                                                               Жанна   тел. 8 989-787-26-46</t>
  </si>
  <si>
    <t>356884, Ставропольский край, Нефтекумский район, город Нефтекумск, Транспортная улица, 22; Рентгенолог Татьяна  8-909-762-54-79</t>
  </si>
  <si>
    <t xml:space="preserve">357500, г. Пятигорск, ул. 1-я Бульварная ,д.47;  Луткова Александра Юрьевна, 
тел:8-905-466-5292                                                         </t>
  </si>
  <si>
    <t>355000, г. Ставрополь, ул. Ленина, 381;  Попова Юлия тел.:+7(961)498-57-32 
Тебякина Светлана Владимировна 
 8-962-403-92-45</t>
  </si>
  <si>
    <t xml:space="preserve">Российская Федерация, Ставропольский край, г. Нефтекумск а/я 5; Оракова Зейнап Рашидовна 
тел. 8-86558-4-92-89
</t>
  </si>
  <si>
    <t>356530, Ставропольский край, Петровский район, город Светлоград, улица Калинина, 28;     Локтев Виктор Алексеевич
8-928-387-87-92</t>
  </si>
  <si>
    <t>357401, Ставропольский край, город Железноводск, ул. Чапаева, д. 5;  Филиппова Ольга Фиофиловна
8-905-441-09-73</t>
  </si>
  <si>
    <t>357390, Ставропольский край, Предгорный район, станица Суворовская, улица Гагарина, дом 1в; Олеся Касимова 
8-928-811-66-45</t>
  </si>
  <si>
    <t>356240, Ставропольский край, Шпаковский район, город Михайловск, улица Ленина, 1; Левшина Татьяна Ильинична  8-919-732-09-23</t>
  </si>
  <si>
    <t>357930, Ставропольский край, Степновский район, село Степное, улица Додонова, 22 А;   Эсмухамед Магомедович  тел. 8 928-828-04-14</t>
  </si>
  <si>
    <t>356000, Ставропольский край, Новоалександровский район, город Новоалександровск, Больничный переулок, 1;     Татьяна  8 962- 022-78-16</t>
  </si>
  <si>
    <t>Юр. адрес: 355040, Россия,Ставропольский край,  г. Ставрополь, М.Жукова пр-т, дом 8 офис 515, Ф. адрес:  г. Михайловск, ул. Ишкова, д. 92; 
Маршалкин Филипп Анатольевич 8-928-962-447-37-20</t>
  </si>
  <si>
    <t>356537, Ставропольский край, Петровский район, город Светлоград, улица Николаенко, дом 10;
Андрей Александрович
8-919-752-95-00</t>
  </si>
  <si>
    <t>356146, Российская Федерация, Ставропольский край, Изобильненский район, г.Изобильный,  ул. Колхозная, д. 122;  Максимова Елена Васильевна
8-8654-57-90-08</t>
  </si>
  <si>
    <t>356141, Ставропольский край, Изобильненский район, город Изобильный, улица 50 лет Октября, 39;</t>
  </si>
  <si>
    <t xml:space="preserve">352900, Краснодарский край, город Армавир, улица Ленина, 43;
Евдокимов Александр Михайлович, +7 928 664 09 99
</t>
  </si>
  <si>
    <t xml:space="preserve">356800, Ставропольский край, Буденновский район, город Буденновск, микрорайон 7, 9а;  Набиева Лариса Анатольевна
тел. 8 906 413 36 49  Старцева Ольга Сергеевна тел. 8 928 356 87 51 </t>
  </si>
  <si>
    <t xml:space="preserve">356800, Ставропольский край, Буденновский район, город Буденновск, Октябрьская улица, дом 82, квартира 1;                         Набиева Лариса Анатольевна
тел. 8 906 413 36 49  Старцева Ольга Сергеевна тел. 8 928 356 87 51 </t>
  </si>
  <si>
    <t>356800, Ставропольский край, Буденновский район, город Буденновск, улица Розы Люксембург, 31;   Мирошниченко Сергей Павлович 8-905-446-31-70</t>
  </si>
  <si>
    <t>356800, Ставропольский край, Буденновский район, город Буденновск, проспект Калинина, 2;   Елена Юрьевна 
8-928-370-90-45</t>
  </si>
  <si>
    <t>357850, Ставропольский край, Курский район, станица Курская, Ессентукская улица, 47;     Сафарова Светлана Дерениковна 
8-903-418-63-50</t>
  </si>
  <si>
    <t>295017, г. Симферополь, Грибоедова, 9;</t>
  </si>
  <si>
    <t>г.Симферополь, ул. 60 лет Октября, 30;</t>
  </si>
  <si>
    <t xml:space="preserve">295013, г. Симферополь, Трубаченко, 24; </t>
  </si>
  <si>
    <t>г.Симферополь, Трубаченко 24;</t>
  </si>
  <si>
    <t>г. Симферополь, Трубаченко, 24;</t>
  </si>
  <si>
    <t>296500 Республика Крым.       
г. Саки, ул. Евпаторийское шоссе 55;
8-978-783-33-20</t>
  </si>
  <si>
    <t>299055 г. Севастополь,  ул.Хрусталева, д. 84; Исп. 8-978-553-99-56 Колевзон Елена</t>
  </si>
  <si>
    <t>298303, Республика Крым, г. Керчь, ул.Кирова, д22, корпус1, офис 7;   Сибогатов Альверт Васильевич  +7 912 264 43 72</t>
  </si>
  <si>
    <t>298312, республика Крым, город Керчь, улица Шевякова, дом 23а этаж 1;</t>
  </si>
  <si>
    <t>295017 г. Симферополь, Грибоедова, 9;</t>
  </si>
  <si>
    <t>299029, город Севастополь, проспект Генерала Острякова, дом 13а;</t>
  </si>
  <si>
    <t>298655, Российская Федерация, Республика Крым, г. Ялта, пгт. Ливадия, ул. Виноградная, д. 12;         Ст. Мс 8-978-777-54-24 Татьяна</t>
  </si>
  <si>
    <t>298330, республика Крым, город Керчь, улица Блюхера, дом 3;</t>
  </si>
  <si>
    <t>299011, город Севастополь, улица Ленина, дом 32б, офис 15-17;
8-978-741-97-44</t>
  </si>
  <si>
    <t>295000, Республика Крым, город Симферополь, улица Толстого, дом 14; 
Метельская Надежда Павловна
8-978-720-91-37</t>
  </si>
  <si>
    <t>298105, республика Крым, город Феодосия, Симферопольское шоссе, дом 39 литера а, помещение 1;</t>
  </si>
  <si>
    <t>295011, республика Крым, город Симферополь, улица Пушкина, дом 25, квартира 1;</t>
  </si>
  <si>
    <t xml:space="preserve"> 299007, г. Севастополь, 
ул. Котовского, 39;
</t>
  </si>
  <si>
    <t>298612, республика Крым, город Ялта, улица Руданского, дом 33 литер б;
Ибрагимова Альбина Асановна
 8-978-816-41-27</t>
  </si>
  <si>
    <t>298604, республика Крым, город Ялта, Украинская улица, дом 2 литера б;  Костин Владимир Александрович тел.8-978-888-97-98</t>
  </si>
  <si>
    <t>299002, город Севастополь, улица Громова, дом 52;</t>
  </si>
  <si>
    <t>295034, республика Крым, город Симферополь, бульвар И.Франко, дом 6;
Заливацкий Александр Викторович, тел. 8-978-724-85-00</t>
  </si>
  <si>
    <t xml:space="preserve">298300, республика Крым, город Керчь, улица Гайдара, дом 7, квартира 2;
Хорунжая Ксения Сергеевна тел. 8-978-824-10-17 </t>
  </si>
  <si>
    <t>298330, Республика Крым, г. Керчь, ул. Ворошилова, дом 19, литер А, каб. 10; Орленко Мария Александровна 
+7 978 835 80 75</t>
  </si>
  <si>
    <t xml:space="preserve">295034, Республика Крым, г. Симферополь, ул. Киевская, д. 100, кв. 82;
Зеленская Екатерина Николаевна тел. 8-978-092-16-73 </t>
  </si>
  <si>
    <t>369000, республика Карачаево-Черкесская, город Черкесск, улица Горького, дом 6 корпус а;
Алексеенко Елена Анатольевна 
 8-8782-28 26 43
8-928-655-32-43</t>
  </si>
  <si>
    <t>369000, республика Карачаево-Черкесская, город Черкесск, проспект Ленина, 52;
Светлана  8-906-443-11-93</t>
  </si>
  <si>
    <t xml:space="preserve">369010, Карачаево-Черкесская Республика,   г. Черкесск, ул. Грибоедова 77А;
Марина Валерьевна Семенова
8-933-331-29-99
Оксана Петровна 8-8782-20-23-44
8-989-789-35-55
</t>
  </si>
  <si>
    <t>369001, республика Карачаево-Черкесская, город Черкесск, Ставропольская улица, дом 40-а;
Дмитрий 8-928-395-35-70</t>
  </si>
  <si>
    <t>369000, республика Карачаево-Черкесская, город Черкесск, улица Орджоникидзе, дом 22; Фатима Давлетовна 8-928-396-04-99</t>
  </si>
  <si>
    <t>369200,  Карачаево-Черкесская  Республика, г.Карачаевск, ул. Магометова, 5; Эбзеев Ренат Хызырович
 8-922-455-70-21</t>
  </si>
  <si>
    <t>369380, республика Карачаево-Черкесская, Малокарачаевский район, село Учкекен, улица Ленина, 47;
Байрамуков Руслан Борисович 8-938-316-34-43</t>
  </si>
  <si>
    <t>357112, Ставропольский край, город Невинномысск, улица Павлова, 5; Марина Ганноченко специалист по ОТ
8-903-414-53-20</t>
  </si>
  <si>
    <t>356530, Ставропольский край, Петровский район, город Светлоград, проспект Им Генерала Воробьева, 1;                            Арендаренко Алла Александровна                     8 906- 468-03-22</t>
  </si>
  <si>
    <t xml:space="preserve">Договор Д 012001050 от 2020г </t>
  </si>
  <si>
    <t>00251</t>
  </si>
  <si>
    <t>00252</t>
  </si>
  <si>
    <t>00253</t>
  </si>
  <si>
    <t>00254</t>
  </si>
  <si>
    <t>00255</t>
  </si>
  <si>
    <t>00256</t>
  </si>
  <si>
    <t>00257</t>
  </si>
  <si>
    <t>00272</t>
  </si>
  <si>
    <t>00280</t>
  </si>
  <si>
    <t>00281</t>
  </si>
  <si>
    <t>780
782(979)</t>
  </si>
  <si>
    <t xml:space="preserve">ООО "Блеск" </t>
  </si>
  <si>
    <t>347942, Ростовская область, город Таганрог, Лизы Чайкиной улица, дом 39-1
Рассказова Юлия Николаевна, тел. 8-919-898-43-50</t>
  </si>
  <si>
    <t>Договор №   25/01-20 ИД от 09.01.2020 (до 31.12.2021г)</t>
  </si>
  <si>
    <t>759.1</t>
  </si>
  <si>
    <t>00123.1</t>
  </si>
  <si>
    <t>ГБУЗ СК "КЭД"</t>
  </si>
  <si>
    <t>Договор № 202/01-20 ИД от 09.01.2020</t>
  </si>
  <si>
    <t xml:space="preserve">355035 г. Ставрополь 
ул. Дзержинского, 127
Кутепова Зоя Федоровна 
8-919-734-46-50
</t>
  </si>
  <si>
    <t>00308</t>
  </si>
  <si>
    <t>00309</t>
  </si>
  <si>
    <t>00310</t>
  </si>
  <si>
    <t>00300</t>
  </si>
  <si>
    <t>00301</t>
  </si>
  <si>
    <t>00302</t>
  </si>
  <si>
    <t>00303</t>
  </si>
  <si>
    <t>00304</t>
  </si>
  <si>
    <t>00345</t>
  </si>
  <si>
    <t>00346</t>
  </si>
  <si>
    <t>00347</t>
  </si>
  <si>
    <t>355000, Ставропольский край, г. Ставрополь, ул. Мира, 236,16;       Оксана Леонидовна
8-905-411-71-10</t>
  </si>
  <si>
    <t>ООО "МРЦ "Гармония"</t>
  </si>
  <si>
    <t>298200, республика Крым, Ленинский район, поселок городского типа Ленино, Вишневая улица, дом 9 
Ишмакова Юлия Валерьевна, тел. 8-978-818-92-56</t>
  </si>
  <si>
    <t>Договор №   28/09-20 ИД от 16.09.2020 (до 31.12.2021г)</t>
  </si>
  <si>
    <t>Договор № 430708 от 02.03.2020 (1 квартал)
Договор № 463287 от 03.06.2020 (2 квартал)
Договор № 492794 от 09.09.2020 (3 квартал)</t>
  </si>
  <si>
    <t>00348</t>
  </si>
  <si>
    <t>00350</t>
  </si>
  <si>
    <t>00351</t>
  </si>
  <si>
    <t>ООО "Жемчужина"</t>
  </si>
  <si>
    <t>369001, республика Карачаево-Черкесская, город Черкесск, улица Доватора, 75; Хачирова Мадина Джашарбековна  8-928-926-10-00</t>
  </si>
  <si>
    <t>Договор №  29/09-20 ИД от 21.09.2020г</t>
  </si>
  <si>
    <t>31.12.2021г</t>
  </si>
  <si>
    <t>Договор № 122/12-19 ИД  от 10.12.2019г</t>
  </si>
  <si>
    <t>00012</t>
  </si>
  <si>
    <t>00370</t>
  </si>
  <si>
    <t>00371</t>
  </si>
  <si>
    <t>00372</t>
  </si>
  <si>
    <t>00385</t>
  </si>
  <si>
    <t>00395</t>
  </si>
  <si>
    <t>00391</t>
  </si>
  <si>
    <t>00392</t>
  </si>
  <si>
    <t>00393</t>
  </si>
  <si>
    <t>00389</t>
  </si>
  <si>
    <t>00394</t>
  </si>
  <si>
    <t>00388</t>
  </si>
  <si>
    <t>00390</t>
  </si>
  <si>
    <t>00396</t>
  </si>
  <si>
    <t>00397</t>
  </si>
  <si>
    <t>00411</t>
  </si>
  <si>
    <t>00412
00413
00414</t>
  </si>
  <si>
    <t>О/О/О</t>
  </si>
  <si>
    <t>890
891</t>
  </si>
  <si>
    <t>00386
00387
00415
00416</t>
  </si>
  <si>
    <t>00417</t>
  </si>
  <si>
    <t>00419</t>
  </si>
  <si>
    <t>00418</t>
  </si>
  <si>
    <t>00420</t>
  </si>
  <si>
    <t>00421</t>
  </si>
  <si>
    <t>00425</t>
  </si>
  <si>
    <t>00426</t>
  </si>
  <si>
    <t>00427</t>
  </si>
  <si>
    <t>00428</t>
  </si>
  <si>
    <t>00429</t>
  </si>
  <si>
    <t>00423</t>
  </si>
  <si>
    <t>00422</t>
  </si>
  <si>
    <t>00434</t>
  </si>
  <si>
    <t>00435</t>
  </si>
  <si>
    <r>
      <t xml:space="preserve">Договор № 409253 от 27.01.2020г;
</t>
    </r>
    <r>
      <rPr>
        <sz val="11"/>
        <color rgb="FF00B050"/>
        <rFont val="Calibri"/>
        <family val="2"/>
        <charset val="204"/>
        <scheme val="minor"/>
      </rPr>
      <t>Договор № 111/10-20 ИД от 05.10.2020г (4кв 2020)</t>
    </r>
  </si>
  <si>
    <t>00436</t>
  </si>
  <si>
    <t>00437</t>
  </si>
  <si>
    <t>00443</t>
  </si>
  <si>
    <t>0444</t>
  </si>
  <si>
    <t>4кв 2020</t>
  </si>
  <si>
    <t>00446</t>
  </si>
  <si>
    <t>00447</t>
  </si>
  <si>
    <t>00445</t>
  </si>
  <si>
    <t>00449</t>
  </si>
  <si>
    <t>00450</t>
  </si>
  <si>
    <t>00451</t>
  </si>
  <si>
    <t>00452</t>
  </si>
  <si>
    <t>00453</t>
  </si>
  <si>
    <t>00454</t>
  </si>
  <si>
    <t>00455</t>
  </si>
  <si>
    <t>00430
00456</t>
  </si>
  <si>
    <t xml:space="preserve">939
968
</t>
  </si>
  <si>
    <t>4 кв 2020</t>
  </si>
  <si>
    <t>Договор №  96/09-20 ИД от 09.09.2020 (до 15.10.2020г)</t>
  </si>
  <si>
    <t>00457</t>
  </si>
  <si>
    <t>00458</t>
  </si>
  <si>
    <t>ООО "МРТ Феодосия"</t>
  </si>
  <si>
    <t>298107, Республика Крым, г. Феодосия, ул. Федько, д. 43
+7-978-924-27-28</t>
  </si>
  <si>
    <t>Договор №   43/09-20 ИД от 29.09.2020 (до 31.12.2022г)</t>
  </si>
  <si>
    <t>00459</t>
  </si>
  <si>
    <t>00463</t>
  </si>
  <si>
    <t>00470</t>
  </si>
  <si>
    <t>00464</t>
  </si>
  <si>
    <t>00465</t>
  </si>
  <si>
    <t>00466</t>
  </si>
  <si>
    <t>00467</t>
  </si>
  <si>
    <t>00469</t>
  </si>
  <si>
    <t>00471</t>
  </si>
  <si>
    <t>00472</t>
  </si>
  <si>
    <t>00473</t>
  </si>
  <si>
    <t>00474</t>
  </si>
  <si>
    <t>00475</t>
  </si>
  <si>
    <t>00433</t>
  </si>
  <si>
    <t>00432</t>
  </si>
  <si>
    <t>00431</t>
  </si>
  <si>
    <t>00424</t>
  </si>
  <si>
    <t>Договор №155/12-19 ИД от 27.12.2019 (01.09.2020) 1,2 кв
Договор №155/08-20 ИД от 19.08.2020 3 кв</t>
  </si>
  <si>
    <t>ООО СКПА</t>
  </si>
  <si>
    <t xml:space="preserve">355042, Ставропольский край, город Ставрополь, улица 45 Параллель, дом 38 г, помещение 788;
Елена Владимировна
8-962-664-03-70
</t>
  </si>
  <si>
    <t>Договор №166/09-20 ИД    от 29.09.2020</t>
  </si>
  <si>
    <t>00510</t>
  </si>
  <si>
    <t>00512</t>
  </si>
  <si>
    <t>00511</t>
  </si>
  <si>
    <t>00513
00514</t>
  </si>
  <si>
    <t>00515</t>
  </si>
  <si>
    <t>00516</t>
  </si>
  <si>
    <t>00517</t>
  </si>
  <si>
    <t>00518</t>
  </si>
  <si>
    <t>00519</t>
  </si>
  <si>
    <t>00521</t>
  </si>
  <si>
    <t>00520</t>
  </si>
  <si>
    <t>00522</t>
  </si>
  <si>
    <t>00523</t>
  </si>
  <si>
    <r>
      <t xml:space="preserve">Договор № 85/01-20 ИД 09.01.2020г (1квартал)
Договор № 85/04-20 ИД 15.04.2020г (до 15.07.2020)
</t>
    </r>
    <r>
      <rPr>
        <sz val="11"/>
        <color rgb="FF00B050"/>
        <rFont val="Calibri"/>
        <family val="2"/>
        <charset val="204"/>
        <scheme val="minor"/>
      </rPr>
      <t>Договор № 85/09-20 ИД от 29.09.2020г (до 30.10.2020)
Договор № 501773 от 05.10.2020г (до 31.12.2020)</t>
    </r>
  </si>
  <si>
    <t>Договор №   187/01-20 ИД от 09.01.2020г (1, 2 квартал 2020г)
Договор №   187/08-20 ИД от 03.08.2020г (3,4 квартал 2020г)</t>
  </si>
  <si>
    <t xml:space="preserve">Договор № 134/01-20 ИД от 09.01.2020 
Договор № 134101-20 ИД от 14.10.2020 </t>
  </si>
  <si>
    <t xml:space="preserve"> 30.01.2021</t>
  </si>
  <si>
    <t>Договор № 150/05-20 ИД от 25.05.2020г (1 кв 2020)
Договор № 150/06-20 ИД от 10.06.2020г (2 кв 2020)
Договор № 150/09-20 ИД от 30.09.2020г (3,4 кв 2020)</t>
  </si>
  <si>
    <t>00524</t>
  </si>
  <si>
    <t>00525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</si>
  <si>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</si>
  <si>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</si>
  <si>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</si>
  <si>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</si>
  <si>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</si>
  <si>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</si>
  <si>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</si>
  <si>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</si>
  <si>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</si>
  <si>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</si>
  <si>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</si>
  <si>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00546</t>
  </si>
  <si>
    <t>355035, Ставропольский край, город Ставрополь, проспект Октябрьской Революции, 26-28; Романенко Денис
8-961-459-41-54</t>
  </si>
  <si>
    <r>
      <t xml:space="preserve">Договор №100/03-20 ИД от 23.03.2020г (до 15.04.2020)
</t>
    </r>
    <r>
      <rPr>
        <sz val="11"/>
        <rFont val="Calibri"/>
        <family val="2"/>
        <charset val="204"/>
        <scheme val="minor"/>
      </rPr>
      <t>Договор №100/07-20 ИД от 02.07.2020г (до 20.07.2020)
Договор №100/09-20 ИД от 10.09.2020г (до 30.10.2020)</t>
    </r>
  </si>
  <si>
    <t>00572</t>
  </si>
  <si>
    <t>00573</t>
  </si>
  <si>
    <t>00574</t>
  </si>
  <si>
    <t>00575</t>
  </si>
  <si>
    <t>00545</t>
  </si>
  <si>
    <t>0576</t>
  </si>
  <si>
    <t>00577</t>
  </si>
  <si>
    <t>1094
1095в</t>
  </si>
  <si>
    <t>00583</t>
  </si>
  <si>
    <t>00582</t>
  </si>
  <si>
    <t>00578</t>
  </si>
  <si>
    <t>О/В/З/Д</t>
  </si>
  <si>
    <t>1143
1144 (в)</t>
  </si>
  <si>
    <t>00588</t>
  </si>
  <si>
    <t>00589</t>
  </si>
  <si>
    <t>Договор №91/01-21 ИД от 11.01.2021г</t>
  </si>
  <si>
    <t>00590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</si>
</sst>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₽_-;\-* #,##0.00\ _₽_-;_-* &quot;-&quot;??\ _₽_-;_-@_-"/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11"/>
      <color theme="1"/>
      <name val="Calibri"/>
      <family val="2"/>
      <charset val="204"/>
      <scheme val="minor"/>
    </font>
    <font>
      <sz val="11"/>
      <color rgb="FFE43C94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3C9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75">
    <xf numFmtId="0" fontId="0" fillId="0" borderId="0" xfId="0"/>
    <xf numFmtId="0" fontId="0" fillId="0" borderId="0" xfId="0" applyAlignment="1">
      <alignment vertical="center"/>
    </xf>
    <xf numFmtId="17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0" xfId="0" applyFill="1"/>
    <xf numFmtId="0" fontId="0" fillId="2" borderId="1" xfId="0" applyFill="1" applyBorder="1"/>
    <xf numFmtId="0" fontId="0" fillId="2" borderId="0" xfId="0" applyFill="1"/>
    <xf numFmtId="0" fontId="0" fillId="0" borderId="1" xfId="0" applyFill="1" applyBorder="1"/>
    <xf numFmtId="0" fontId="0" fillId="6" borderId="0" xfId="0" applyFill="1"/>
    <xf numFmtId="0" fontId="0" fillId="2" borderId="1" xfId="0" applyFont="1" applyFill="1" applyBorder="1"/>
    <xf numFmtId="0" fontId="0" fillId="8" borderId="1" xfId="0" applyFill="1" applyBorder="1"/>
    <xf numFmtId="0" fontId="0" fillId="4" borderId="1" xfId="0" applyFill="1" applyBorder="1"/>
    <xf numFmtId="0" fontId="0" fillId="8" borderId="1" xfId="0" applyFill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0" fillId="4" borderId="1" xfId="0" applyFill="1" applyBorder="1" applyAlignment="1">
      <alignment vertical="center" wrapText="1"/>
    </xf>
    <xf numFmtId="0" fontId="0" fillId="10" borderId="1" xfId="0" applyFill="1" applyBorder="1"/>
    <xf numFmtId="0" fontId="0" fillId="9" borderId="1" xfId="0" applyFill="1" applyBorder="1"/>
    <xf numFmtId="0" fontId="0" fillId="9" borderId="1" xfId="0" applyNumberFormat="1" applyFill="1" applyBorder="1" applyAlignment="1">
      <alignment wrapText="1"/>
    </xf>
    <xf numFmtId="0" fontId="0" fillId="9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vertical="top"/>
    </xf>
    <xf numFmtId="0" fontId="0" fillId="7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0" fontId="0" fillId="8" borderId="1" xfId="0" applyFill="1" applyBorder="1" applyAlignment="1">
      <alignment vertical="center" wrapText="1"/>
    </xf>
    <xf numFmtId="0" fontId="0" fillId="1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11" borderId="1" xfId="0" applyFill="1" applyBorder="1"/>
    <xf numFmtId="0" fontId="0" fillId="12" borderId="1" xfId="0" applyFill="1" applyBorder="1" applyAlignment="1">
      <alignment vertical="center" wrapText="1"/>
    </xf>
    <xf numFmtId="0" fontId="0" fillId="8" borderId="1" xfId="0" applyFill="1" applyBorder="1" applyAlignment="1">
      <alignment vertical="top" wrapText="1"/>
    </xf>
    <xf numFmtId="0" fontId="0" fillId="10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9" borderId="1" xfId="0" applyFill="1" applyBorder="1" applyAlignment="1">
      <alignment vertical="top" wrapText="1"/>
    </xf>
    <xf numFmtId="0" fontId="0" fillId="6" borderId="1" xfId="0" applyFill="1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/>
    <xf numFmtId="0" fontId="0" fillId="0" borderId="1" xfId="0" applyFill="1" applyBorder="1" applyAlignment="1">
      <alignment horizontal="right" vertical="center"/>
    </xf>
    <xf numFmtId="0" fontId="2" fillId="0" borderId="1" xfId="0" applyFont="1" applyBorder="1" applyAlignment="1">
      <alignment horizontal="right"/>
    </xf>
    <xf numFmtId="0" fontId="0" fillId="0" borderId="1" xfId="0" applyBorder="1" applyAlignment="1">
      <alignment horizontal="right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13" borderId="1" xfId="0" applyFill="1" applyBorder="1"/>
    <xf numFmtId="49" fontId="0" fillId="0" borderId="0" xfId="0" applyNumberFormat="1"/>
    <xf numFmtId="0" fontId="0" fillId="3" borderId="1" xfId="0" applyFill="1" applyBorder="1" applyAlignment="1">
      <alignment horizontal="right"/>
    </xf>
    <xf numFmtId="0" fontId="0" fillId="14" borderId="1" xfId="0" applyFill="1" applyBorder="1" applyAlignment="1">
      <alignment wrapText="1"/>
    </xf>
    <xf numFmtId="0" fontId="0" fillId="14" borderId="1" xfId="0" applyFill="1" applyBorder="1" applyAlignment="1">
      <alignment vertical="top" wrapText="1"/>
    </xf>
    <xf numFmtId="0" fontId="0" fillId="14" borderId="1" xfId="0" applyFill="1" applyBorder="1"/>
    <xf numFmtId="0" fontId="0" fillId="15" borderId="1" xfId="0" applyFill="1" applyBorder="1"/>
    <xf numFmtId="0" fontId="0" fillId="15" borderId="1" xfId="0" applyFill="1" applyBorder="1" applyAlignment="1">
      <alignment vertical="top" wrapText="1"/>
    </xf>
    <xf numFmtId="0" fontId="4" fillId="0" borderId="0" xfId="0" applyFont="1"/>
    <xf numFmtId="0" fontId="4" fillId="0" borderId="2" xfId="0" applyFont="1" applyBorder="1"/>
    <xf numFmtId="0" fontId="4" fillId="0" borderId="0" xfId="0" applyFont="1" applyFill="1" applyBorder="1"/>
    <xf numFmtId="0" fontId="4" fillId="0" borderId="0" xfId="0" applyFont="1" applyAlignment="1">
      <alignment wrapText="1"/>
    </xf>
    <xf numFmtId="17" fontId="4" fillId="0" borderId="0" xfId="0" applyNumberFormat="1" applyFont="1"/>
    <xf numFmtId="0" fontId="0" fillId="16" borderId="1" xfId="0" applyFill="1" applyBorder="1" applyAlignment="1">
      <alignment vertical="center" wrapText="1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center"/>
    </xf>
    <xf numFmtId="1" fontId="0" fillId="0" borderId="1" xfId="0" applyNumberFormat="1" applyBorder="1"/>
    <xf numFmtId="1" fontId="0" fillId="0" borderId="1" xfId="0" applyNumberFormat="1" applyFill="1" applyBorder="1"/>
    <xf numFmtId="1" fontId="0" fillId="0" borderId="1" xfId="0" applyNumberFormat="1" applyBorder="1" applyAlignment="1">
      <alignment vertical="center"/>
    </xf>
    <xf numFmtId="1" fontId="0" fillId="0" borderId="1" xfId="0" applyNumberFormat="1" applyFill="1" applyBorder="1" applyAlignment="1">
      <alignment vertical="center"/>
    </xf>
    <xf numFmtId="1" fontId="0" fillId="0" borderId="1" xfId="0" applyNumberFormat="1" applyFill="1" applyBorder="1" applyAlignment="1">
      <alignment horizontal="right" vertical="center"/>
    </xf>
    <xf numFmtId="1" fontId="2" fillId="0" borderId="0" xfId="0" applyNumberFormat="1" applyFont="1" applyAlignment="1">
      <alignment horizontal="right"/>
    </xf>
    <xf numFmtId="1" fontId="0" fillId="0" borderId="0" xfId="0" applyNumberFormat="1"/>
    <xf numFmtId="1" fontId="5" fillId="0" borderId="1" xfId="0" applyNumberFormat="1" applyFont="1" applyBorder="1"/>
    <xf numFmtId="1" fontId="0" fillId="17" borderId="1" xfId="0" applyNumberFormat="1" applyFill="1" applyBorder="1"/>
    <xf numFmtId="0" fontId="0" fillId="17" borderId="1" xfId="0" applyFill="1" applyBorder="1"/>
    <xf numFmtId="0" fontId="0" fillId="17" borderId="1" xfId="0" applyFill="1" applyBorder="1" applyAlignment="1">
      <alignment vertical="center"/>
    </xf>
    <xf numFmtId="0" fontId="0" fillId="0" borderId="1" xfId="0" applyFill="1" applyBorder="1" applyAlignment="1">
      <alignment wrapText="1"/>
    </xf>
    <xf numFmtId="0" fontId="0" fillId="7" borderId="1" xfId="0" applyFill="1" applyBorder="1"/>
    <xf numFmtId="0" fontId="0" fillId="0" borderId="1" xfId="0" applyBorder="1" applyAlignment="1">
      <alignment vertical="top"/>
    </xf>
    <xf numFmtId="0" fontId="0" fillId="0" borderId="1" xfId="0" applyFill="1" applyBorder="1" applyAlignment="1">
      <alignment vertical="top" wrapText="1"/>
    </xf>
    <xf numFmtId="1" fontId="5" fillId="0" borderId="1" xfId="0" applyNumberFormat="1" applyFont="1" applyFill="1" applyBorder="1"/>
    <xf numFmtId="0" fontId="6" fillId="3" borderId="1" xfId="0" applyFont="1" applyFill="1" applyBorder="1"/>
    <xf numFmtId="0" fontId="0" fillId="0" borderId="1" xfId="0" applyFill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right"/>
    </xf>
    <xf numFmtId="0" fontId="6" fillId="0" borderId="1" xfId="0" applyFont="1" applyFill="1" applyBorder="1"/>
    <xf numFmtId="0" fontId="5" fillId="0" borderId="1" xfId="0" applyFont="1" applyBorder="1"/>
    <xf numFmtId="1" fontId="6" fillId="0" borderId="1" xfId="0" applyNumberFormat="1" applyFont="1" applyBorder="1"/>
    <xf numFmtId="0" fontId="0" fillId="18" borderId="1" xfId="0" applyFill="1" applyBorder="1" applyAlignment="1">
      <alignment wrapText="1"/>
    </xf>
    <xf numFmtId="0" fontId="0" fillId="3" borderId="1" xfId="0" applyFill="1" applyBorder="1" applyAlignment="1">
      <alignment horizontal="left" vertical="center" wrapText="1"/>
    </xf>
    <xf numFmtId="0" fontId="0" fillId="15" borderId="1" xfId="0" applyFill="1" applyBorder="1" applyAlignment="1">
      <alignment wrapText="1"/>
    </xf>
    <xf numFmtId="1" fontId="0" fillId="15" borderId="1" xfId="0" applyNumberFormat="1" applyFill="1" applyBorder="1" applyAlignment="1">
      <alignment vertical="center"/>
    </xf>
    <xf numFmtId="1" fontId="0" fillId="15" borderId="1" xfId="0" applyNumberFormat="1" applyFill="1" applyBorder="1"/>
    <xf numFmtId="1" fontId="5" fillId="15" borderId="1" xfId="0" applyNumberFormat="1" applyFont="1" applyFill="1" applyBorder="1"/>
    <xf numFmtId="0" fontId="0" fillId="5" borderId="1" xfId="0" applyFill="1" applyBorder="1"/>
    <xf numFmtId="0" fontId="0" fillId="13" borderId="1" xfId="0" applyFill="1" applyBorder="1" applyAlignment="1">
      <alignment vertical="top" wrapText="1"/>
    </xf>
    <xf numFmtId="0" fontId="0" fillId="13" borderId="1" xfId="0" applyFill="1" applyBorder="1" applyAlignment="1">
      <alignment wrapText="1"/>
    </xf>
    <xf numFmtId="0" fontId="0" fillId="19" borderId="1" xfId="0" applyFill="1" applyBorder="1" applyAlignment="1">
      <alignment wrapText="1"/>
    </xf>
    <xf numFmtId="0" fontId="0" fillId="18" borderId="1" xfId="0" applyFill="1" applyBorder="1"/>
    <xf numFmtId="0" fontId="0" fillId="7" borderId="1" xfId="0" applyFill="1" applyBorder="1" applyAlignment="1">
      <alignment horizontal="left" vertical="center" wrapText="1"/>
    </xf>
    <xf numFmtId="0" fontId="0" fillId="20" borderId="1" xfId="0" applyFill="1" applyBorder="1" applyAlignment="1">
      <alignment wrapText="1"/>
    </xf>
    <xf numFmtId="0" fontId="0" fillId="20" borderId="1" xfId="0" applyFill="1" applyBorder="1" applyAlignment="1">
      <alignment horizontal="left" vertical="center" wrapText="1"/>
    </xf>
    <xf numFmtId="0" fontId="0" fillId="20" borderId="1" xfId="0" applyFill="1" applyBorder="1"/>
    <xf numFmtId="1" fontId="0" fillId="20" borderId="1" xfId="0" applyNumberFormat="1" applyFill="1" applyBorder="1"/>
    <xf numFmtId="1" fontId="0" fillId="0" borderId="1" xfId="0" applyNumberFormat="1" applyFill="1" applyBorder="1" applyAlignment="1">
      <alignment wrapText="1"/>
    </xf>
    <xf numFmtId="1" fontId="0" fillId="21" borderId="1" xfId="0" applyNumberFormat="1" applyFill="1" applyBorder="1"/>
    <xf numFmtId="1" fontId="0" fillId="21" borderId="1" xfId="0" applyNumberFormat="1" applyFill="1" applyBorder="1" applyAlignment="1">
      <alignment vertical="center"/>
    </xf>
    <xf numFmtId="0" fontId="4" fillId="0" borderId="0" xfId="0" applyFont="1" applyAlignment="1">
      <alignment vertical="top" wrapText="1"/>
    </xf>
    <xf numFmtId="0" fontId="4" fillId="0" borderId="2" xfId="0" applyFont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17" fontId="4" fillId="0" borderId="0" xfId="0" applyNumberFormat="1" applyFont="1" applyAlignment="1">
      <alignment vertical="top" wrapText="1"/>
    </xf>
    <xf numFmtId="17" fontId="4" fillId="0" borderId="3" xfId="0" applyNumberFormat="1" applyFont="1" applyBorder="1" applyAlignment="1">
      <alignment horizontal="center" vertical="center"/>
    </xf>
    <xf numFmtId="17" fontId="4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7" fontId="4" fillId="9" borderId="3" xfId="0" applyNumberFormat="1" applyFont="1" applyFill="1" applyBorder="1" applyAlignment="1">
      <alignment horizontal="center" vertical="top" wrapText="1"/>
    </xf>
    <xf numFmtId="17" fontId="4" fillId="9" borderId="0" xfId="0" applyNumberFormat="1" applyFont="1" applyFill="1" applyAlignment="1">
      <alignment vertical="top" wrapText="1"/>
    </xf>
    <xf numFmtId="17" fontId="4" fillId="22" borderId="0" xfId="0" applyNumberFormat="1" applyFont="1" applyFill="1" applyAlignment="1">
      <alignment vertical="top" wrapText="1"/>
    </xf>
    <xf numFmtId="17" fontId="4" fillId="18" borderId="0" xfId="0" applyNumberFormat="1" applyFont="1" applyFill="1" applyAlignment="1">
      <alignment vertical="top" wrapText="1"/>
    </xf>
    <xf numFmtId="17" fontId="4" fillId="23" borderId="0" xfId="0" applyNumberFormat="1" applyFont="1" applyFill="1" applyAlignment="1">
      <alignment vertical="top" wrapText="1"/>
    </xf>
    <xf numFmtId="0" fontId="0" fillId="0" borderId="1" xfId="0" applyFill="1" applyBorder="1" applyAlignment="1">
      <alignment horizontal="center" vertical="center" wrapText="1"/>
    </xf>
    <xf numFmtId="0" fontId="0" fillId="3" borderId="1" xfId="0" applyFont="1" applyFill="1" applyBorder="1"/>
    <xf numFmtId="0" fontId="0" fillId="13" borderId="1" xfId="0" applyFill="1" applyBorder="1" applyAlignment="1">
      <alignment horizontal="left" vertical="center" wrapText="1"/>
    </xf>
    <xf numFmtId="0" fontId="0" fillId="18" borderId="1" xfId="0" applyFill="1" applyBorder="1" applyAlignment="1">
      <alignment vertical="center" wrapText="1"/>
    </xf>
    <xf numFmtId="0" fontId="0" fillId="24" borderId="1" xfId="0" applyFill="1" applyBorder="1" applyAlignment="1">
      <alignment vertical="center" wrapText="1"/>
    </xf>
    <xf numFmtId="0" fontId="0" fillId="24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 wrapText="1"/>
    </xf>
    <xf numFmtId="0" fontId="2" fillId="0" borderId="1" xfId="0" applyFont="1" applyBorder="1" applyAlignment="1">
      <alignment horizontal="right" vertical="center"/>
    </xf>
    <xf numFmtId="0" fontId="0" fillId="15" borderId="1" xfId="0" applyFill="1" applyBorder="1" applyAlignment="1">
      <alignment vertical="center"/>
    </xf>
    <xf numFmtId="0" fontId="0" fillId="13" borderId="1" xfId="0" applyFill="1" applyBorder="1" applyAlignment="1">
      <alignment vertical="center" wrapText="1"/>
    </xf>
    <xf numFmtId="1" fontId="0" fillId="0" borderId="1" xfId="0" applyNumberFormat="1" applyFill="1" applyBorder="1" applyAlignment="1">
      <alignment vertical="center" wrapText="1"/>
    </xf>
    <xf numFmtId="0" fontId="0" fillId="9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0" fillId="24" borderId="1" xfId="0" applyFill="1" applyBorder="1" applyAlignment="1">
      <alignment horizontal="left" vertical="center" wrapText="1"/>
    </xf>
    <xf numFmtId="0" fontId="0" fillId="24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/>
    </xf>
    <xf numFmtId="0" fontId="0" fillId="18" borderId="1" xfId="0" applyFill="1" applyBorder="1" applyAlignment="1">
      <alignment horizontal="left" vertical="center" wrapText="1"/>
    </xf>
    <xf numFmtId="0" fontId="0" fillId="18" borderId="1" xfId="0" applyFill="1" applyBorder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Border="1" applyAlignment="1">
      <alignment vertical="center"/>
    </xf>
    <xf numFmtId="1" fontId="2" fillId="0" borderId="1" xfId="0" applyNumberFormat="1" applyFont="1" applyBorder="1" applyAlignment="1">
      <alignment horizontal="right" vertical="center"/>
    </xf>
    <xf numFmtId="1" fontId="0" fillId="0" borderId="0" xfId="0" applyNumberFormat="1" applyBorder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0" borderId="1" xfId="0" applyNumberFormat="1" applyFill="1" applyBorder="1" applyAlignment="1">
      <alignment horizontal="center" vertical="center"/>
    </xf>
    <xf numFmtId="4" fontId="0" fillId="0" borderId="1" xfId="0" applyNumberFormat="1" applyBorder="1"/>
    <xf numFmtId="4" fontId="0" fillId="2" borderId="1" xfId="0" applyNumberForma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/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1" fontId="0" fillId="0" borderId="17" xfId="0" applyNumberFormat="1" applyBorder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21" xfId="0" applyBorder="1"/>
    <xf numFmtId="0" fontId="0" fillId="0" borderId="22" xfId="0" applyBorder="1" applyAlignment="1">
      <alignment horizontal="left"/>
    </xf>
    <xf numFmtId="0" fontId="0" fillId="0" borderId="22" xfId="0" applyBorder="1"/>
    <xf numFmtId="1" fontId="0" fillId="0" borderId="22" xfId="0" applyNumberFormat="1" applyBorder="1"/>
    <xf numFmtId="1" fontId="0" fillId="0" borderId="23" xfId="0" applyNumberFormat="1" applyBorder="1"/>
    <xf numFmtId="0" fontId="0" fillId="3" borderId="9" xfId="0" applyFill="1" applyBorder="1" applyAlignment="1">
      <alignment vertical="center"/>
    </xf>
    <xf numFmtId="4" fontId="0" fillId="3" borderId="1" xfId="0" applyNumberForma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3" borderId="0" xfId="0" applyFill="1"/>
    <xf numFmtId="4" fontId="0" fillId="3" borderId="0" xfId="0" applyNumberFormat="1" applyFill="1"/>
    <xf numFmtId="0" fontId="0" fillId="24" borderId="1" xfId="0" applyFill="1" applyBorder="1"/>
    <xf numFmtId="0" fontId="0" fillId="24" borderId="1" xfId="0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0" fillId="23" borderId="1" xfId="0" applyFill="1" applyBorder="1" applyAlignment="1">
      <alignment vertical="center" wrapText="1"/>
    </xf>
    <xf numFmtId="4" fontId="0" fillId="0" borderId="0" xfId="0" applyNumberFormat="1"/>
    <xf numFmtId="164" fontId="0" fillId="0" borderId="0" xfId="0" applyNumberFormat="1"/>
    <xf numFmtId="4" fontId="0" fillId="3" borderId="1" xfId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1" fontId="6" fillId="0" borderId="1" xfId="0" applyNumberFormat="1" applyFont="1" applyFill="1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27" borderId="2" xfId="0" applyFill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9" borderId="2" xfId="0" applyFill="1" applyBorder="1" applyAlignment="1">
      <alignment vertical="center"/>
    </xf>
    <xf numFmtId="0" fontId="0" fillId="9" borderId="2" xfId="0" applyFill="1" applyBorder="1" applyAlignment="1">
      <alignment vertical="center" wrapText="1"/>
    </xf>
    <xf numFmtId="0" fontId="0" fillId="28" borderId="0" xfId="0" applyFill="1"/>
    <xf numFmtId="0" fontId="0" fillId="28" borderId="1" xfId="0" applyFill="1" applyBorder="1" applyAlignment="1">
      <alignment horizontal="left" vertical="center"/>
    </xf>
    <xf numFmtId="0" fontId="0" fillId="28" borderId="1" xfId="0" applyFill="1" applyBorder="1" applyAlignment="1">
      <alignment horizontal="left" vertical="center" wrapText="1"/>
    </xf>
    <xf numFmtId="0" fontId="0" fillId="0" borderId="9" xfId="0" applyFill="1" applyBorder="1" applyAlignment="1">
      <alignment vertical="center"/>
    </xf>
    <xf numFmtId="4" fontId="0" fillId="0" borderId="1" xfId="0" applyNumberFormat="1" applyFill="1" applyBorder="1" applyAlignment="1">
      <alignment vertical="center"/>
    </xf>
    <xf numFmtId="4" fontId="0" fillId="2" borderId="0" xfId="0" applyNumberFormat="1" applyFill="1"/>
    <xf numFmtId="0" fontId="0" fillId="2" borderId="1" xfId="0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left" vertical="center" wrapText="1"/>
    </xf>
    <xf numFmtId="0" fontId="6" fillId="29" borderId="1" xfId="0" applyFont="1" applyFill="1" applyBorder="1" applyAlignment="1">
      <alignment horizontal="center" vertical="center"/>
    </xf>
    <xf numFmtId="0" fontId="6" fillId="29" borderId="1" xfId="0" applyFont="1" applyFill="1" applyBorder="1" applyAlignment="1">
      <alignment vertical="center"/>
    </xf>
    <xf numFmtId="0" fontId="0" fillId="29" borderId="1" xfId="0" applyFill="1" applyBorder="1" applyAlignment="1">
      <alignment horizontal="center" vertical="center"/>
    </xf>
    <xf numFmtId="0" fontId="0" fillId="29" borderId="1" xfId="0" applyFill="1" applyBorder="1" applyAlignment="1">
      <alignment vertical="center"/>
    </xf>
    <xf numFmtId="0" fontId="0" fillId="27" borderId="2" xfId="0" applyFill="1" applyBorder="1" applyAlignment="1">
      <alignment vertical="top" wrapText="1"/>
    </xf>
    <xf numFmtId="0" fontId="0" fillId="20" borderId="1" xfId="0" applyFill="1" applyBorder="1" applyAlignment="1">
      <alignment vertical="center"/>
    </xf>
    <xf numFmtId="0" fontId="0" fillId="20" borderId="17" xfId="0" applyFill="1" applyBorder="1" applyAlignment="1">
      <alignment vertical="center"/>
    </xf>
    <xf numFmtId="0" fontId="0" fillId="20" borderId="9" xfId="0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4" fontId="0" fillId="20" borderId="1" xfId="0" applyNumberFormat="1" applyFill="1" applyBorder="1" applyAlignment="1">
      <alignment horizontal="center" vertical="center"/>
    </xf>
    <xf numFmtId="2" fontId="0" fillId="0" borderId="0" xfId="0" applyNumberFormat="1"/>
    <xf numFmtId="0" fontId="0" fillId="28" borderId="2" xfId="0" applyFill="1" applyBorder="1" applyAlignment="1">
      <alignment vertical="center" wrapText="1"/>
    </xf>
    <xf numFmtId="0" fontId="0" fillId="3" borderId="9" xfId="0" applyFill="1" applyBorder="1" applyAlignment="1">
      <alignment horizontal="center" vertical="center" wrapText="1"/>
    </xf>
    <xf numFmtId="0" fontId="0" fillId="24" borderId="1" xfId="0" applyFill="1" applyBorder="1" applyAlignment="1">
      <alignment vertical="top" wrapText="1"/>
    </xf>
    <xf numFmtId="0" fontId="0" fillId="0" borderId="2" xfId="0" applyFill="1" applyBorder="1" applyAlignment="1">
      <alignment vertical="center" wrapText="1"/>
    </xf>
    <xf numFmtId="4" fontId="0" fillId="0" borderId="0" xfId="0" applyNumberFormat="1" applyFill="1"/>
    <xf numFmtId="0" fontId="0" fillId="0" borderId="0" xfId="0" applyFill="1"/>
    <xf numFmtId="0" fontId="0" fillId="0" borderId="9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0" fillId="28" borderId="1" xfId="0" applyFill="1" applyBorder="1" applyAlignment="1">
      <alignment vertical="center" wrapText="1"/>
    </xf>
    <xf numFmtId="0" fontId="0" fillId="0" borderId="0" xfId="0" applyFill="1" applyAlignment="1">
      <alignment vertical="center"/>
    </xf>
    <xf numFmtId="164" fontId="0" fillId="0" borderId="0" xfId="0" applyNumberFormat="1" applyFill="1"/>
    <xf numFmtId="0" fontId="0" fillId="27" borderId="1" xfId="0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0" fillId="30" borderId="1" xfId="0" applyFill="1" applyBorder="1" applyAlignment="1">
      <alignment vertical="center" wrapText="1"/>
    </xf>
    <xf numFmtId="0" fontId="0" fillId="30" borderId="1" xfId="0" applyFill="1" applyBorder="1" applyAlignment="1">
      <alignment wrapText="1"/>
    </xf>
    <xf numFmtId="0" fontId="6" fillId="2" borderId="1" xfId="0" applyFont="1" applyFill="1" applyBorder="1" applyAlignment="1">
      <alignment horizontal="center" vertical="center"/>
    </xf>
    <xf numFmtId="0" fontId="0" fillId="31" borderId="1" xfId="0" applyFill="1" applyBorder="1"/>
    <xf numFmtId="0" fontId="0" fillId="32" borderId="1" xfId="0" applyFill="1" applyBorder="1" applyAlignment="1">
      <alignment horizontal="left" vertical="center" wrapText="1"/>
    </xf>
    <xf numFmtId="0" fontId="0" fillId="29" borderId="17" xfId="0" applyFill="1" applyBorder="1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4" fontId="0" fillId="29" borderId="1" xfId="0" applyNumberFormat="1" applyFill="1" applyBorder="1" applyAlignment="1">
      <alignment horizontal="center" vertical="center"/>
    </xf>
    <xf numFmtId="4" fontId="0" fillId="29" borderId="1" xfId="0" applyNumberFormat="1" applyFill="1" applyBorder="1" applyAlignment="1">
      <alignment vertical="center"/>
    </xf>
    <xf numFmtId="0" fontId="7" fillId="32" borderId="1" xfId="0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4" fontId="0" fillId="2" borderId="1" xfId="0" applyNumberFormat="1" applyFill="1" applyBorder="1" applyAlignment="1">
      <alignment vertical="center"/>
    </xf>
    <xf numFmtId="1" fontId="0" fillId="2" borderId="1" xfId="0" applyNumberFormat="1" applyFill="1" applyBorder="1" applyAlignment="1">
      <alignment vertical="center"/>
    </xf>
    <xf numFmtId="4" fontId="0" fillId="3" borderId="1" xfId="0" applyNumberFormat="1" applyFill="1" applyBorder="1" applyAlignment="1">
      <alignment horizontal="right" vertical="center"/>
    </xf>
    <xf numFmtId="0" fontId="0" fillId="18" borderId="2" xfId="0" applyFill="1" applyBorder="1" applyAlignment="1">
      <alignment vertical="center" wrapText="1"/>
    </xf>
    <xf numFmtId="0" fontId="0" fillId="3" borderId="0" xfId="0" applyFill="1" applyAlignmen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2" borderId="9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2" borderId="9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49" fontId="0" fillId="3" borderId="9" xfId="0" applyNumberForma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right" vertical="center"/>
    </xf>
    <xf numFmtId="49" fontId="0" fillId="3" borderId="9" xfId="0" applyNumberFormat="1" applyFill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 wrapText="1"/>
    </xf>
    <xf numFmtId="0" fontId="0" fillId="0" borderId="15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17" fontId="4" fillId="18" borderId="0" xfId="0" applyNumberFormat="1" applyFont="1" applyFill="1" applyAlignment="1">
      <alignment horizontal="center" vertical="top" wrapText="1"/>
    </xf>
    <xf numFmtId="17" fontId="4" fillId="9" borderId="0" xfId="0" applyNumberFormat="1" applyFont="1" applyFill="1" applyBorder="1" applyAlignment="1">
      <alignment horizontal="center" vertical="top" wrapText="1"/>
    </xf>
    <xf numFmtId="17" fontId="4" fillId="22" borderId="0" xfId="0" applyNumberFormat="1" applyFont="1" applyFill="1" applyAlignment="1">
      <alignment horizontal="center" vertical="top" wrapText="1"/>
    </xf>
    <xf numFmtId="17" fontId="4" fillId="23" borderId="0" xfId="0" applyNumberFormat="1" applyFont="1" applyFill="1" applyAlignment="1">
      <alignment horizontal="center" vertical="top" wrapText="1"/>
    </xf>
    <xf numFmtId="4" fontId="0" fillId="0" borderId="9" xfId="0" applyNumberFormat="1" applyFill="1" applyBorder="1" applyAlignment="1">
      <alignment vertical="center"/>
    </xf>
    <xf numFmtId="0" fontId="0" fillId="23" borderId="0" xfId="0" applyFill="1"/>
    <xf numFmtId="4" fontId="0" fillId="23" borderId="0" xfId="0" applyNumberFormat="1" applyFill="1"/>
    <xf numFmtId="0" fontId="0" fillId="0" borderId="0" xfId="0" applyAlignment="1">
      <alignment horizontal="center" vertical="center"/>
    </xf>
    <xf numFmtId="14" fontId="0" fillId="3" borderId="1" xfId="0" applyNumberFormat="1" applyFill="1" applyBorder="1" applyAlignment="1">
      <alignment horizontal="left" vertical="center" wrapText="1"/>
    </xf>
    <xf numFmtId="14" fontId="0" fillId="28" borderId="1" xfId="0" applyNumberFormat="1" applyFill="1" applyBorder="1" applyAlignment="1">
      <alignment horizontal="left" vertical="center" wrapText="1"/>
    </xf>
    <xf numFmtId="14" fontId="0" fillId="0" borderId="1" xfId="0" applyNumberForma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/>
    </xf>
    <xf numFmtId="14" fontId="7" fillId="32" borderId="1" xfId="0" applyNumberFormat="1" applyFont="1" applyFill="1" applyBorder="1" applyAlignment="1">
      <alignment horizontal="left" vertical="center" wrapText="1"/>
    </xf>
    <xf numFmtId="14" fontId="0" fillId="2" borderId="1" xfId="0" applyNumberForma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0" fillId="13" borderId="1" xfId="0" applyNumberFormat="1" applyFill="1" applyBorder="1" applyAlignment="1">
      <alignment horizontal="left" vertical="center" wrapText="1"/>
    </xf>
    <xf numFmtId="14" fontId="0" fillId="0" borderId="1" xfId="0" applyNumberFormat="1" applyFill="1" applyBorder="1" applyAlignment="1">
      <alignment vertical="center" wrapText="1"/>
    </xf>
    <xf numFmtId="14" fontId="6" fillId="0" borderId="1" xfId="0" applyNumberFormat="1" applyFont="1" applyFill="1" applyBorder="1" applyAlignment="1">
      <alignment vertical="center" wrapText="1"/>
    </xf>
    <xf numFmtId="14" fontId="0" fillId="28" borderId="1" xfId="0" applyNumberFormat="1" applyFill="1" applyBorder="1" applyAlignment="1">
      <alignment vertical="center" wrapText="1"/>
    </xf>
    <xf numFmtId="14" fontId="0" fillId="3" borderId="1" xfId="0" applyNumberFormat="1" applyFill="1" applyBorder="1" applyAlignment="1">
      <alignment wrapText="1"/>
    </xf>
    <xf numFmtId="14" fontId="0" fillId="32" borderId="1" xfId="0" applyNumberFormat="1" applyFill="1" applyBorder="1" applyAlignment="1">
      <alignment horizontal="left" vertical="center" wrapText="1"/>
    </xf>
    <xf numFmtId="14" fontId="0" fillId="28" borderId="2" xfId="0" applyNumberFormat="1" applyFill="1" applyBorder="1" applyAlignment="1">
      <alignment vertical="center" wrapText="1"/>
    </xf>
    <xf numFmtId="14" fontId="0" fillId="0" borderId="1" xfId="0" applyNumberFormat="1" applyBorder="1" applyAlignment="1">
      <alignment horizontal="left"/>
    </xf>
    <xf numFmtId="14" fontId="0" fillId="0" borderId="22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6" fillId="0" borderId="1" xfId="0" applyFont="1" applyFill="1" applyBorder="1" applyAlignment="1">
      <alignment horizontal="left" vertical="center" wrapText="1"/>
    </xf>
    <xf numFmtId="14" fontId="6" fillId="0" borderId="1" xfId="0" applyNumberFormat="1" applyFont="1" applyFill="1" applyBorder="1" applyAlignment="1">
      <alignment horizontal="left" vertical="center" wrapText="1"/>
    </xf>
    <xf numFmtId="14" fontId="0" fillId="0" borderId="1" xfId="0" applyNumberFormat="1" applyFill="1" applyBorder="1" applyAlignment="1">
      <alignment horizontal="right" vertical="center" wrapText="1"/>
    </xf>
    <xf numFmtId="14" fontId="0" fillId="28" borderId="1" xfId="0" applyNumberFormat="1" applyFill="1" applyBorder="1" applyAlignment="1">
      <alignment horizontal="right" vertical="center" wrapText="1"/>
    </xf>
    <xf numFmtId="14" fontId="0" fillId="3" borderId="1" xfId="0" applyNumberFormat="1" applyFill="1" applyBorder="1" applyAlignment="1">
      <alignment horizontal="right" vertical="center" wrapText="1"/>
    </xf>
    <xf numFmtId="14" fontId="0" fillId="13" borderId="1" xfId="0" applyNumberFormat="1" applyFill="1" applyBorder="1" applyAlignment="1">
      <alignment vertical="center" wrapText="1"/>
    </xf>
    <xf numFmtId="14" fontId="0" fillId="13" borderId="1" xfId="0" applyNumberFormat="1" applyFill="1" applyBorder="1" applyAlignment="1">
      <alignment horizontal="right" vertical="center" wrapText="1"/>
    </xf>
    <xf numFmtId="0" fontId="0" fillId="13" borderId="2" xfId="0" applyFill="1" applyBorder="1" applyAlignment="1">
      <alignment vertical="center" wrapText="1"/>
    </xf>
    <xf numFmtId="14" fontId="0" fillId="13" borderId="2" xfId="0" applyNumberFormat="1" applyFill="1" applyBorder="1" applyAlignment="1">
      <alignment vertical="center" wrapText="1"/>
    </xf>
    <xf numFmtId="14" fontId="0" fillId="0" borderId="2" xfId="0" applyNumberFormat="1" applyFill="1" applyBorder="1" applyAlignment="1">
      <alignment horizontal="right" vertical="center" wrapText="1"/>
    </xf>
    <xf numFmtId="0" fontId="0" fillId="33" borderId="1" xfId="0" applyFill="1" applyBorder="1" applyAlignment="1">
      <alignment vertical="center" wrapText="1"/>
    </xf>
    <xf numFmtId="0" fontId="0" fillId="33" borderId="1" xfId="0" applyFill="1" applyBorder="1" applyAlignment="1">
      <alignment wrapText="1"/>
    </xf>
    <xf numFmtId="49" fontId="4" fillId="0" borderId="0" xfId="0" applyNumberFormat="1" applyFont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vertical="center"/>
    </xf>
    <xf numFmtId="49" fontId="0" fillId="0" borderId="1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/>
    <xf numFmtId="49" fontId="0" fillId="0" borderId="0" xfId="0" applyNumberFormat="1" applyFill="1"/>
    <xf numFmtId="14" fontId="0" fillId="2" borderId="1" xfId="0" applyNumberFormat="1" applyFill="1" applyBorder="1" applyAlignment="1">
      <alignment vertical="center" wrapText="1"/>
    </xf>
    <xf numFmtId="4" fontId="0" fillId="3" borderId="9" xfId="0" applyNumberFormat="1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0" fillId="28" borderId="2" xfId="0" applyFill="1" applyBorder="1" applyAlignment="1">
      <alignment horizontal="left" vertical="center" wrapText="1"/>
    </xf>
    <xf numFmtId="0" fontId="0" fillId="34" borderId="2" xfId="0" applyFill="1" applyBorder="1" applyAlignment="1">
      <alignment vertical="center"/>
    </xf>
    <xf numFmtId="0" fontId="0" fillId="34" borderId="2" xfId="0" applyFill="1" applyBorder="1" applyAlignment="1">
      <alignment vertical="center" wrapText="1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4" fontId="0" fillId="11" borderId="0" xfId="0" applyNumberFormat="1" applyFill="1"/>
    <xf numFmtId="0" fontId="0" fillId="0" borderId="2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left" vertical="center" wrapText="1"/>
    </xf>
    <xf numFmtId="0" fontId="0" fillId="29" borderId="1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17" fontId="4" fillId="18" borderId="0" xfId="0" applyNumberFormat="1" applyFont="1" applyFill="1" applyAlignment="1">
      <alignment horizontal="center" vertical="top" wrapText="1"/>
    </xf>
    <xf numFmtId="17" fontId="4" fillId="9" borderId="0" xfId="0" applyNumberFormat="1" applyFont="1" applyFill="1" applyBorder="1" applyAlignment="1">
      <alignment horizontal="center" vertical="top" wrapText="1"/>
    </xf>
    <xf numFmtId="17" fontId="4" fillId="22" borderId="0" xfId="0" applyNumberFormat="1" applyFont="1" applyFill="1" applyAlignment="1">
      <alignment horizontal="center" vertical="top" wrapText="1"/>
    </xf>
    <xf numFmtId="17" fontId="4" fillId="23" borderId="0" xfId="0" applyNumberFormat="1" applyFont="1" applyFill="1" applyAlignment="1">
      <alignment horizontal="center" vertical="top" wrapText="1"/>
    </xf>
    <xf numFmtId="49" fontId="0" fillId="0" borderId="9" xfId="0" applyNumberFormat="1" applyFill="1" applyBorder="1" applyAlignment="1">
      <alignment horizontal="center" vertical="center" wrapText="1"/>
    </xf>
    <xf numFmtId="4" fontId="0" fillId="0" borderId="1" xfId="0" applyNumberFormat="1" applyFill="1" applyBorder="1" applyAlignment="1">
      <alignment horizontal="right" vertical="center"/>
    </xf>
    <xf numFmtId="49" fontId="0" fillId="0" borderId="9" xfId="0" applyNumberForma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wrapText="1"/>
    </xf>
    <xf numFmtId="14" fontId="0" fillId="0" borderId="2" xfId="0" applyNumberFormat="1" applyFill="1" applyBorder="1" applyAlignment="1">
      <alignment vertical="center" wrapText="1"/>
    </xf>
    <xf numFmtId="17" fontId="4" fillId="18" borderId="0" xfId="0" applyNumberFormat="1" applyFont="1" applyFill="1" applyAlignment="1">
      <alignment horizontal="center" vertical="top" wrapText="1"/>
    </xf>
    <xf numFmtId="0" fontId="0" fillId="0" borderId="18" xfId="0" applyBorder="1" applyAlignment="1">
      <alignment horizontal="right" vertical="center"/>
    </xf>
    <xf numFmtId="0" fontId="4" fillId="0" borderId="10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4" xfId="0" applyNumberFormat="1" applyFill="1" applyBorder="1" applyAlignment="1">
      <alignment horizontal="center" vertical="center"/>
    </xf>
    <xf numFmtId="1" fontId="0" fillId="0" borderId="5" xfId="0" applyNumberForma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" fontId="4" fillId="9" borderId="0" xfId="0" applyNumberFormat="1" applyFont="1" applyFill="1" applyBorder="1" applyAlignment="1">
      <alignment horizontal="center" vertical="top" wrapText="1"/>
    </xf>
    <xf numFmtId="17" fontId="4" fillId="22" borderId="0" xfId="0" applyNumberFormat="1" applyFont="1" applyFill="1" applyAlignment="1">
      <alignment horizontal="center" vertical="top" wrapText="1"/>
    </xf>
    <xf numFmtId="17" fontId="4" fillId="23" borderId="0" xfId="0" applyNumberFormat="1" applyFont="1" applyFill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3" borderId="2" xfId="0" applyFill="1" applyBorder="1" applyAlignment="1">
      <alignment horizontal="left" vertical="center"/>
    </xf>
    <xf numFmtId="0" fontId="0" fillId="13" borderId="4" xfId="0" applyFill="1" applyBorder="1" applyAlignment="1">
      <alignment horizontal="left" vertical="center"/>
    </xf>
    <xf numFmtId="0" fontId="0" fillId="13" borderId="5" xfId="0" applyFill="1" applyBorder="1" applyAlignment="1">
      <alignment horizontal="left" vertical="center"/>
    </xf>
    <xf numFmtId="0" fontId="0" fillId="13" borderId="2" xfId="0" applyFill="1" applyBorder="1" applyAlignment="1">
      <alignment horizontal="left" vertical="center" wrapText="1"/>
    </xf>
    <xf numFmtId="0" fontId="0" fillId="13" borderId="4" xfId="0" applyFill="1" applyBorder="1" applyAlignment="1">
      <alignment horizontal="left" vertical="center" wrapText="1"/>
    </xf>
    <xf numFmtId="0" fontId="0" fillId="13" borderId="5" xfId="0" applyFill="1" applyBorder="1" applyAlignment="1">
      <alignment horizontal="left" vertical="center" wrapText="1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5" borderId="2" xfId="0" applyFill="1" applyBorder="1" applyAlignment="1">
      <alignment horizontal="left" vertical="center" wrapText="1"/>
    </xf>
    <xf numFmtId="0" fontId="0" fillId="25" borderId="4" xfId="0" applyFill="1" applyBorder="1" applyAlignment="1">
      <alignment horizontal="left" vertical="center" wrapText="1"/>
    </xf>
    <xf numFmtId="0" fontId="0" fillId="25" borderId="5" xfId="0" applyFill="1" applyBorder="1" applyAlignment="1">
      <alignment horizontal="left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center" vertical="center" wrapText="1"/>
    </xf>
    <xf numFmtId="0" fontId="0" fillId="25" borderId="5" xfId="0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 wrapText="1"/>
    </xf>
    <xf numFmtId="1" fontId="0" fillId="0" borderId="4" xfId="0" applyNumberFormat="1" applyFill="1" applyBorder="1" applyAlignment="1">
      <alignment horizontal="center" vertical="center" wrapText="1"/>
    </xf>
    <xf numFmtId="1" fontId="0" fillId="0" borderId="5" xfId="0" applyNumberFormat="1" applyFill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18" borderId="2" xfId="0" applyFill="1" applyBorder="1" applyAlignment="1">
      <alignment horizontal="left" vertical="center" wrapText="1"/>
    </xf>
    <xf numFmtId="0" fontId="0" fillId="18" borderId="4" xfId="0" applyFill="1" applyBorder="1" applyAlignment="1">
      <alignment horizontal="left" vertical="center" wrapText="1"/>
    </xf>
    <xf numFmtId="0" fontId="0" fillId="18" borderId="5" xfId="0" applyFill="1" applyBorder="1" applyAlignment="1">
      <alignment horizontal="left" vertical="center" wrapText="1"/>
    </xf>
    <xf numFmtId="0" fontId="0" fillId="0" borderId="2" xfId="0" applyFill="1" applyBorder="1" applyAlignment="1">
      <alignment horizontal="left" vertical="center" wrapText="1"/>
    </xf>
    <xf numFmtId="0" fontId="0" fillId="0" borderId="4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3" borderId="24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3" fontId="0" fillId="3" borderId="4" xfId="0" applyNumberFormat="1" applyFill="1" applyBorder="1" applyAlignment="1">
      <alignment horizontal="center" vertical="center"/>
    </xf>
    <xf numFmtId="3" fontId="0" fillId="3" borderId="5" xfId="0" applyNumberFormat="1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10" borderId="2" xfId="0" applyFill="1" applyBorder="1" applyAlignment="1">
      <alignment horizontal="left" vertical="center" wrapText="1"/>
    </xf>
    <xf numFmtId="0" fontId="0" fillId="10" borderId="4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14" fontId="4" fillId="0" borderId="12" xfId="0" applyNumberFormat="1" applyFont="1" applyFill="1" applyBorder="1" applyAlignment="1">
      <alignment horizontal="center" vertical="center" wrapText="1"/>
    </xf>
    <xf numFmtId="14" fontId="4" fillId="0" borderId="5" xfId="0" applyNumberFormat="1" applyFont="1" applyFill="1" applyBorder="1" applyAlignment="1">
      <alignment horizontal="center" vertical="center" wrapText="1"/>
    </xf>
    <xf numFmtId="3" fontId="0" fillId="0" borderId="2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5" xfId="0" applyNumberForma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13" borderId="2" xfId="0" applyFill="1" applyBorder="1" applyAlignment="1">
      <alignment horizontal="center" vertical="top"/>
    </xf>
    <xf numFmtId="0" fontId="0" fillId="13" borderId="4" xfId="0" applyFill="1" applyBorder="1" applyAlignment="1">
      <alignment horizontal="center" vertical="top"/>
    </xf>
    <xf numFmtId="0" fontId="0" fillId="13" borderId="5" xfId="0" applyFill="1" applyBorder="1" applyAlignment="1">
      <alignment horizontal="center" vertical="top"/>
    </xf>
    <xf numFmtId="0" fontId="0" fillId="13" borderId="2" xfId="0" applyFill="1" applyBorder="1" applyAlignment="1">
      <alignment horizontal="center" wrapText="1"/>
    </xf>
    <xf numFmtId="0" fontId="0" fillId="13" borderId="4" xfId="0" applyFill="1" applyBorder="1" applyAlignment="1">
      <alignment horizontal="center" wrapText="1"/>
    </xf>
    <xf numFmtId="0" fontId="0" fillId="13" borderId="5" xfId="0" applyFill="1" applyBorder="1" applyAlignment="1">
      <alignment horizontal="center" wrapText="1"/>
    </xf>
    <xf numFmtId="0" fontId="0" fillId="13" borderId="2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18" borderId="2" xfId="0" applyFill="1" applyBorder="1" applyAlignment="1">
      <alignment horizontal="center" wrapText="1"/>
    </xf>
    <xf numFmtId="0" fontId="0" fillId="18" borderId="4" xfId="0" applyFill="1" applyBorder="1" applyAlignment="1">
      <alignment horizontal="center" wrapText="1"/>
    </xf>
    <xf numFmtId="0" fontId="0" fillId="18" borderId="5" xfId="0" applyFill="1" applyBorder="1" applyAlignment="1">
      <alignment horizontal="center" wrapText="1"/>
    </xf>
    <xf numFmtId="0" fontId="0" fillId="18" borderId="2" xfId="0" applyFill="1" applyBorder="1" applyAlignment="1">
      <alignment horizontal="center" vertical="top" wrapText="1"/>
    </xf>
    <xf numFmtId="0" fontId="0" fillId="18" borderId="4" xfId="0" applyFill="1" applyBorder="1" applyAlignment="1">
      <alignment horizontal="center" vertical="top" wrapText="1"/>
    </xf>
    <xf numFmtId="0" fontId="0" fillId="18" borderId="5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1" fontId="0" fillId="0" borderId="2" xfId="0" applyNumberFormat="1" applyFill="1" applyBorder="1" applyAlignment="1">
      <alignment horizontal="center" wrapText="1"/>
    </xf>
    <xf numFmtId="1" fontId="0" fillId="0" borderId="4" xfId="0" applyNumberFormat="1" applyFill="1" applyBorder="1" applyAlignment="1">
      <alignment horizontal="center" wrapText="1"/>
    </xf>
    <xf numFmtId="1" fontId="0" fillId="0" borderId="5" xfId="0" applyNumberFormat="1" applyFill="1" applyBorder="1" applyAlignment="1">
      <alignment horizontal="center" wrapText="1"/>
    </xf>
    <xf numFmtId="0" fontId="0" fillId="8" borderId="2" xfId="0" applyFill="1" applyBorder="1" applyAlignment="1">
      <alignment horizontal="center" wrapText="1"/>
    </xf>
    <xf numFmtId="0" fontId="0" fillId="8" borderId="4" xfId="0" applyFill="1" applyBorder="1" applyAlignment="1">
      <alignment horizontal="center" wrapText="1"/>
    </xf>
    <xf numFmtId="0" fontId="0" fillId="8" borderId="5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Medium9"/>
  <colors>
    <mruColors>
      <color rgb="FFFFFF99"/>
      <color rgb="FFE43C94"/>
      <color rgb="FFFF33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116"/>
  <sheetViews>
    <sheetView zoomScale="84" zoomScaleNormal="84" workbookViewId="0">
      <pane ySplit="1" topLeftCell="A57" activePane="bottomLeft" state="frozen"/>
      <selection activeCell="B1" sqref="B1"/>
      <selection pane="bottomLeft" activeCell="S69" sqref="S69:U69"/>
    </sheetView>
  </sheetViews>
  <sheetFormatPr defaultRowHeight="15" x14ac:dyDescent="0.25"/>
  <cols>
    <col min="2" max="2" width="43.140625" customWidth="1"/>
    <col min="3" max="3" width="41.5703125" customWidth="1"/>
    <col min="4" max="4" width="25.7109375" customWidth="1"/>
    <col min="5" max="5" width="17.85546875" customWidth="1"/>
    <col min="6" max="6" width="15.85546875" customWidth="1"/>
    <col min="7" max="7" width="8.28515625" customWidth="1"/>
    <col min="8" max="8" width="8.42578125" customWidth="1"/>
    <col min="9" max="17" width="9.140625" customWidth="1"/>
    <col min="22" max="22" width="12.42578125" customWidth="1"/>
  </cols>
  <sheetData>
    <row r="1" spans="1:23" x14ac:dyDescent="0.25">
      <c r="A1" s="68" t="s">
        <v>124</v>
      </c>
      <c r="B1" s="68" t="s">
        <v>125</v>
      </c>
      <c r="C1" s="69" t="s">
        <v>126</v>
      </c>
      <c r="D1" s="70" t="s">
        <v>127</v>
      </c>
      <c r="E1" s="68" t="s">
        <v>129</v>
      </c>
      <c r="F1" s="68" t="s">
        <v>128</v>
      </c>
      <c r="G1" s="68" t="s">
        <v>119</v>
      </c>
      <c r="H1" s="71" t="s">
        <v>120</v>
      </c>
      <c r="I1" s="68" t="s">
        <v>37</v>
      </c>
      <c r="J1" s="72">
        <v>43101</v>
      </c>
      <c r="K1" s="72">
        <v>43132</v>
      </c>
      <c r="L1" s="72">
        <v>43160</v>
      </c>
      <c r="M1" s="72">
        <v>43191</v>
      </c>
      <c r="N1" s="72">
        <v>43221</v>
      </c>
      <c r="O1" s="72">
        <v>43252</v>
      </c>
      <c r="P1" s="72">
        <v>43282</v>
      </c>
      <c r="Q1" s="72">
        <v>43313</v>
      </c>
      <c r="R1" s="72">
        <v>43344</v>
      </c>
      <c r="S1" s="72">
        <v>43374</v>
      </c>
      <c r="T1" s="72">
        <v>43405</v>
      </c>
      <c r="U1" s="72">
        <v>43435</v>
      </c>
      <c r="V1" s="72">
        <v>43466</v>
      </c>
      <c r="W1" s="72">
        <v>43497</v>
      </c>
    </row>
    <row r="2" spans="1:23" ht="30" customHeight="1" x14ac:dyDescent="0.25">
      <c r="A2">
        <v>1</v>
      </c>
      <c r="B2" s="13" t="s">
        <v>2</v>
      </c>
      <c r="C2" s="13"/>
      <c r="D2" s="3" t="s">
        <v>14</v>
      </c>
      <c r="E2" s="3" t="s">
        <v>33</v>
      </c>
      <c r="F2" s="3"/>
      <c r="G2" s="3"/>
      <c r="H2" s="76">
        <v>1</v>
      </c>
      <c r="I2" s="3"/>
      <c r="J2" s="4"/>
      <c r="K2" s="4"/>
      <c r="L2" s="4"/>
      <c r="M2" s="4">
        <v>44</v>
      </c>
      <c r="N2" s="4">
        <v>44</v>
      </c>
      <c r="O2" s="4">
        <v>44</v>
      </c>
      <c r="P2" s="4">
        <v>67</v>
      </c>
      <c r="Q2" s="4">
        <v>67</v>
      </c>
      <c r="R2" s="4">
        <v>67</v>
      </c>
      <c r="S2" s="4">
        <v>178</v>
      </c>
      <c r="T2" s="4">
        <v>178</v>
      </c>
      <c r="U2" s="4">
        <v>178</v>
      </c>
      <c r="V2" s="3"/>
      <c r="W2" s="3"/>
    </row>
    <row r="3" spans="1:23" ht="60" x14ac:dyDescent="0.25">
      <c r="A3">
        <v>2</v>
      </c>
      <c r="B3" s="29" t="s">
        <v>7</v>
      </c>
      <c r="C3" s="28" t="s">
        <v>86</v>
      </c>
      <c r="D3" s="3"/>
      <c r="E3" s="3" t="s">
        <v>33</v>
      </c>
      <c r="F3" s="3"/>
      <c r="G3" s="3"/>
      <c r="H3" s="77">
        <v>3</v>
      </c>
      <c r="I3" s="3"/>
      <c r="J3" s="4"/>
      <c r="K3" s="4"/>
      <c r="L3" s="4"/>
      <c r="M3" s="4">
        <v>48</v>
      </c>
      <c r="N3" s="4">
        <v>48</v>
      </c>
      <c r="O3" s="4">
        <v>48</v>
      </c>
      <c r="P3" s="4">
        <v>66</v>
      </c>
      <c r="Q3" s="4">
        <v>66</v>
      </c>
      <c r="R3" s="4">
        <v>66</v>
      </c>
      <c r="S3" s="4">
        <v>122</v>
      </c>
      <c r="T3" s="4">
        <v>122</v>
      </c>
      <c r="U3" s="4">
        <v>122</v>
      </c>
      <c r="V3" s="3"/>
      <c r="W3" s="3"/>
    </row>
    <row r="4" spans="1:23" ht="75" x14ac:dyDescent="0.25">
      <c r="A4">
        <v>3</v>
      </c>
      <c r="B4" s="37" t="s">
        <v>8</v>
      </c>
      <c r="C4" s="30" t="s">
        <v>85</v>
      </c>
      <c r="D4" s="3"/>
      <c r="E4" s="3" t="s">
        <v>33</v>
      </c>
      <c r="F4" s="3"/>
      <c r="G4" s="3"/>
      <c r="H4" s="84">
        <v>26</v>
      </c>
      <c r="I4" s="3"/>
      <c r="J4" s="4"/>
      <c r="K4" s="4"/>
      <c r="L4" s="4"/>
      <c r="M4" s="4"/>
      <c r="N4" s="4"/>
      <c r="O4" s="4">
        <v>33</v>
      </c>
      <c r="P4" s="4">
        <v>49</v>
      </c>
      <c r="Q4" s="4">
        <v>52</v>
      </c>
      <c r="R4" s="137">
        <v>58</v>
      </c>
      <c r="S4" s="4">
        <v>73</v>
      </c>
      <c r="T4" s="4">
        <v>78</v>
      </c>
      <c r="U4" s="4">
        <v>134</v>
      </c>
      <c r="V4" s="3"/>
      <c r="W4" s="3"/>
    </row>
    <row r="5" spans="1:23" ht="45" x14ac:dyDescent="0.25">
      <c r="A5">
        <v>4</v>
      </c>
      <c r="B5" s="13" t="s">
        <v>12</v>
      </c>
      <c r="C5" s="28" t="s">
        <v>87</v>
      </c>
      <c r="D5" s="3" t="s">
        <v>11</v>
      </c>
      <c r="E5" s="3" t="s">
        <v>33</v>
      </c>
      <c r="F5" s="3">
        <v>2635221863</v>
      </c>
      <c r="G5" s="3"/>
      <c r="H5" s="77">
        <v>5</v>
      </c>
      <c r="I5" s="3"/>
      <c r="J5" s="4"/>
      <c r="K5" s="4"/>
      <c r="L5" s="4"/>
      <c r="M5" s="4"/>
      <c r="N5" s="4"/>
      <c r="O5" s="4"/>
      <c r="P5" s="4">
        <v>64</v>
      </c>
      <c r="Q5" s="4">
        <v>64</v>
      </c>
      <c r="R5" s="4">
        <v>64</v>
      </c>
      <c r="S5" s="4">
        <v>110</v>
      </c>
      <c r="T5" s="4">
        <v>110</v>
      </c>
      <c r="U5" s="4">
        <v>110</v>
      </c>
      <c r="V5" s="3"/>
      <c r="W5" s="3"/>
    </row>
    <row r="6" spans="1:23" ht="60" x14ac:dyDescent="0.25">
      <c r="A6">
        <v>5</v>
      </c>
      <c r="B6" s="35" t="s">
        <v>15</v>
      </c>
      <c r="C6" s="32" t="s">
        <v>89</v>
      </c>
      <c r="D6" s="22" t="s">
        <v>150</v>
      </c>
      <c r="E6" s="3" t="s">
        <v>33</v>
      </c>
      <c r="F6" s="3">
        <v>2635221969</v>
      </c>
      <c r="G6" s="3"/>
      <c r="H6" s="76">
        <v>1</v>
      </c>
      <c r="I6" s="3"/>
      <c r="J6" s="4"/>
      <c r="K6" s="4"/>
      <c r="L6" s="4"/>
      <c r="M6" s="4">
        <v>34</v>
      </c>
      <c r="N6" s="4">
        <v>34</v>
      </c>
      <c r="O6" s="4">
        <v>34</v>
      </c>
      <c r="P6" s="4">
        <v>60</v>
      </c>
      <c r="Q6" s="4">
        <v>60</v>
      </c>
      <c r="R6" s="4">
        <v>60</v>
      </c>
      <c r="S6" s="4">
        <v>132</v>
      </c>
      <c r="T6" s="4">
        <v>132</v>
      </c>
      <c r="U6" s="4">
        <v>132</v>
      </c>
      <c r="V6" s="3"/>
      <c r="W6" s="3"/>
    </row>
    <row r="7" spans="1:23" ht="89.25" customHeight="1" x14ac:dyDescent="0.25">
      <c r="A7">
        <v>6</v>
      </c>
      <c r="B7" s="34" t="s">
        <v>16</v>
      </c>
      <c r="C7" s="33" t="s">
        <v>90</v>
      </c>
      <c r="D7" s="3" t="s">
        <v>17</v>
      </c>
      <c r="E7" s="3" t="s">
        <v>33</v>
      </c>
      <c r="F7" s="3"/>
      <c r="G7" s="85">
        <v>56</v>
      </c>
      <c r="H7" s="76"/>
      <c r="I7" s="3"/>
      <c r="J7" s="4"/>
      <c r="K7" s="4"/>
      <c r="L7" s="4"/>
      <c r="M7" s="4"/>
      <c r="N7" s="4"/>
      <c r="O7" s="4">
        <v>47</v>
      </c>
      <c r="P7" s="4">
        <v>50</v>
      </c>
      <c r="Q7" s="4">
        <v>53</v>
      </c>
      <c r="R7" s="62" t="s">
        <v>82</v>
      </c>
      <c r="S7" s="4">
        <v>76</v>
      </c>
      <c r="T7" s="4">
        <v>85</v>
      </c>
      <c r="U7" s="4">
        <v>181</v>
      </c>
      <c r="V7" s="3"/>
      <c r="W7" s="3"/>
    </row>
    <row r="8" spans="1:23" ht="45" x14ac:dyDescent="0.25">
      <c r="A8">
        <v>7</v>
      </c>
      <c r="B8" s="15" t="s">
        <v>19</v>
      </c>
      <c r="C8" s="39" t="s">
        <v>93</v>
      </c>
      <c r="D8" s="24" t="s">
        <v>21</v>
      </c>
      <c r="E8" s="3" t="s">
        <v>33</v>
      </c>
      <c r="F8" s="5">
        <v>2631027142</v>
      </c>
      <c r="G8" s="5"/>
      <c r="H8" s="78">
        <v>1</v>
      </c>
      <c r="I8" s="3"/>
      <c r="J8" s="4"/>
      <c r="K8" s="4"/>
      <c r="L8" s="4"/>
      <c r="M8" s="4">
        <v>45</v>
      </c>
      <c r="N8" s="4">
        <v>45</v>
      </c>
      <c r="O8" s="4">
        <v>45</v>
      </c>
      <c r="P8" s="4">
        <v>69</v>
      </c>
      <c r="Q8" s="4">
        <v>69</v>
      </c>
      <c r="R8" s="4">
        <v>69</v>
      </c>
      <c r="S8" s="4">
        <v>172</v>
      </c>
      <c r="T8" s="4">
        <v>172</v>
      </c>
      <c r="U8" s="4">
        <v>172</v>
      </c>
      <c r="V8" s="3"/>
      <c r="W8" s="3"/>
    </row>
    <row r="9" spans="1:23" ht="45" x14ac:dyDescent="0.25">
      <c r="A9">
        <v>8</v>
      </c>
      <c r="B9" s="39" t="s">
        <v>28</v>
      </c>
      <c r="C9" s="39" t="s">
        <v>94</v>
      </c>
      <c r="D9" s="24" t="s">
        <v>20</v>
      </c>
      <c r="E9" s="3" t="s">
        <v>33</v>
      </c>
      <c r="F9" s="5">
        <v>2631027880</v>
      </c>
      <c r="G9" s="5"/>
      <c r="H9" s="78">
        <v>1</v>
      </c>
      <c r="I9" s="3"/>
      <c r="J9" s="4"/>
      <c r="K9" s="4"/>
      <c r="L9" s="4"/>
      <c r="M9" s="4">
        <v>46</v>
      </c>
      <c r="N9" s="4">
        <v>46</v>
      </c>
      <c r="O9" s="4">
        <v>46</v>
      </c>
      <c r="P9" s="4">
        <v>68</v>
      </c>
      <c r="Q9" s="4">
        <v>68</v>
      </c>
      <c r="R9" s="4">
        <v>68</v>
      </c>
      <c r="S9" s="4">
        <v>179</v>
      </c>
      <c r="T9" s="4">
        <v>179</v>
      </c>
      <c r="U9" s="4">
        <v>179</v>
      </c>
      <c r="V9" s="3"/>
      <c r="W9" s="3"/>
    </row>
    <row r="10" spans="1:23" ht="45" x14ac:dyDescent="0.25">
      <c r="A10">
        <v>9</v>
      </c>
      <c r="B10" s="15" t="s">
        <v>24</v>
      </c>
      <c r="C10" s="73" t="s">
        <v>95</v>
      </c>
      <c r="D10" s="24" t="s">
        <v>34</v>
      </c>
      <c r="E10" s="3" t="s">
        <v>33</v>
      </c>
      <c r="F10" s="5">
        <v>2631009785</v>
      </c>
      <c r="G10" s="5"/>
      <c r="H10" s="78">
        <v>2</v>
      </c>
      <c r="I10" s="3"/>
      <c r="J10" s="4"/>
      <c r="K10" s="4"/>
      <c r="L10" s="4"/>
      <c r="M10" s="4">
        <v>41</v>
      </c>
      <c r="N10" s="4">
        <v>41</v>
      </c>
      <c r="O10" s="4">
        <v>41</v>
      </c>
      <c r="P10" s="4">
        <v>63</v>
      </c>
      <c r="Q10" s="4">
        <v>63</v>
      </c>
      <c r="R10" s="4">
        <v>63</v>
      </c>
      <c r="S10" s="4">
        <v>117</v>
      </c>
      <c r="T10" s="4">
        <v>117</v>
      </c>
      <c r="U10" s="4">
        <v>117</v>
      </c>
      <c r="V10" s="3"/>
      <c r="W10" s="3"/>
    </row>
    <row r="11" spans="1:23" ht="87.75" customHeight="1" x14ac:dyDescent="0.25">
      <c r="A11">
        <v>10</v>
      </c>
      <c r="B11" s="46" t="s">
        <v>25</v>
      </c>
      <c r="C11" s="17" t="s">
        <v>96</v>
      </c>
      <c r="D11" s="24" t="s">
        <v>26</v>
      </c>
      <c r="E11" s="3" t="s">
        <v>33</v>
      </c>
      <c r="F11" s="5">
        <v>2634069743</v>
      </c>
      <c r="G11" s="5"/>
      <c r="H11" s="78">
        <v>10</v>
      </c>
      <c r="I11" s="3"/>
      <c r="J11" s="4"/>
      <c r="K11" s="4"/>
      <c r="L11" s="4"/>
      <c r="M11" s="4">
        <v>35</v>
      </c>
      <c r="N11" s="4">
        <v>35</v>
      </c>
      <c r="O11" s="4">
        <v>35</v>
      </c>
      <c r="P11" s="4">
        <v>56</v>
      </c>
      <c r="Q11" s="4">
        <v>56</v>
      </c>
      <c r="R11" s="4">
        <v>56</v>
      </c>
      <c r="S11" s="4">
        <v>133</v>
      </c>
      <c r="T11" s="4">
        <v>133</v>
      </c>
      <c r="U11" s="4">
        <v>133</v>
      </c>
      <c r="V11" s="3"/>
      <c r="W11" s="3"/>
    </row>
    <row r="12" spans="1:23" ht="45" x14ac:dyDescent="0.25">
      <c r="A12">
        <v>11</v>
      </c>
      <c r="B12" s="29" t="s">
        <v>30</v>
      </c>
      <c r="C12" s="44" t="s">
        <v>97</v>
      </c>
      <c r="D12" s="24" t="s">
        <v>64</v>
      </c>
      <c r="E12" s="3" t="s">
        <v>33</v>
      </c>
      <c r="F12" s="5">
        <v>2631017987</v>
      </c>
      <c r="G12" s="5"/>
      <c r="H12" s="79"/>
      <c r="I12" s="3">
        <v>32</v>
      </c>
      <c r="J12" s="4"/>
      <c r="K12" s="4"/>
      <c r="L12" s="4"/>
      <c r="M12" s="4">
        <v>38</v>
      </c>
      <c r="N12" s="4">
        <v>38</v>
      </c>
      <c r="O12" s="4">
        <v>38</v>
      </c>
      <c r="P12" s="4">
        <v>59</v>
      </c>
      <c r="Q12" s="4">
        <v>59</v>
      </c>
      <c r="R12" s="4">
        <v>59</v>
      </c>
      <c r="S12" s="4">
        <v>119</v>
      </c>
      <c r="T12" s="4">
        <v>119</v>
      </c>
      <c r="U12" s="4">
        <v>119</v>
      </c>
      <c r="V12" s="3"/>
      <c r="W12" s="3"/>
    </row>
    <row r="13" spans="1:23" ht="45" x14ac:dyDescent="0.25">
      <c r="A13">
        <v>12</v>
      </c>
      <c r="B13" s="14" t="s">
        <v>35</v>
      </c>
      <c r="C13" s="32" t="s">
        <v>98</v>
      </c>
      <c r="D13" s="41" t="s">
        <v>36</v>
      </c>
      <c r="E13" s="74" t="s">
        <v>33</v>
      </c>
      <c r="F13" s="75">
        <v>2635232671</v>
      </c>
      <c r="G13" s="75"/>
      <c r="H13" s="79">
        <v>26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92">
        <v>96</v>
      </c>
      <c r="T13" s="92">
        <v>96</v>
      </c>
      <c r="U13" s="92">
        <v>96</v>
      </c>
      <c r="V13" s="3"/>
      <c r="W13" s="3"/>
    </row>
    <row r="14" spans="1:23" ht="45" x14ac:dyDescent="0.25">
      <c r="A14">
        <v>13</v>
      </c>
      <c r="B14" s="14" t="s">
        <v>53</v>
      </c>
      <c r="C14" s="32" t="s">
        <v>99</v>
      </c>
      <c r="D14" s="24" t="s">
        <v>38</v>
      </c>
      <c r="E14" s="3" t="s">
        <v>33</v>
      </c>
      <c r="F14" s="5">
        <v>2633001943</v>
      </c>
      <c r="G14" s="5">
        <v>65</v>
      </c>
      <c r="H14" s="78"/>
      <c r="I14" s="3"/>
      <c r="J14" s="3"/>
      <c r="K14" s="3"/>
      <c r="L14" s="3"/>
      <c r="M14" s="4">
        <v>40</v>
      </c>
      <c r="N14" s="4">
        <v>40</v>
      </c>
      <c r="O14" s="4">
        <v>40</v>
      </c>
      <c r="P14" s="4">
        <v>57</v>
      </c>
      <c r="Q14" s="4">
        <v>57</v>
      </c>
      <c r="R14" s="4">
        <v>57</v>
      </c>
      <c r="S14" s="4">
        <v>135</v>
      </c>
      <c r="T14" s="4">
        <v>135</v>
      </c>
      <c r="U14" s="4">
        <v>135</v>
      </c>
      <c r="V14" s="3"/>
      <c r="W14" s="3"/>
    </row>
    <row r="15" spans="1:23" ht="60" x14ac:dyDescent="0.25">
      <c r="A15">
        <v>14</v>
      </c>
      <c r="B15" s="49" t="s">
        <v>42</v>
      </c>
      <c r="C15" s="21" t="s">
        <v>100</v>
      </c>
      <c r="D15" s="24" t="s">
        <v>39</v>
      </c>
      <c r="E15" s="3" t="s">
        <v>33</v>
      </c>
      <c r="F15" s="5">
        <v>9107041038</v>
      </c>
      <c r="G15" s="5"/>
      <c r="H15" s="78">
        <v>3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ht="30" x14ac:dyDescent="0.25">
      <c r="A16">
        <v>15</v>
      </c>
      <c r="B16" s="14" t="s">
        <v>43</v>
      </c>
      <c r="C16" s="32" t="s">
        <v>101</v>
      </c>
      <c r="D16" s="24" t="s">
        <v>44</v>
      </c>
      <c r="E16" s="3" t="s">
        <v>33</v>
      </c>
      <c r="F16" s="5">
        <v>2635814951</v>
      </c>
      <c r="G16" s="5"/>
      <c r="H16" s="78">
        <v>40</v>
      </c>
      <c r="I16" s="22" t="s">
        <v>268</v>
      </c>
      <c r="J16" s="3"/>
      <c r="K16" s="3"/>
      <c r="L16" s="3"/>
      <c r="M16" s="3"/>
      <c r="N16" s="3"/>
      <c r="O16" s="3"/>
      <c r="P16" s="4">
        <v>61</v>
      </c>
      <c r="Q16" s="4">
        <v>61</v>
      </c>
      <c r="R16" s="4">
        <v>61</v>
      </c>
      <c r="S16" s="4">
        <v>139</v>
      </c>
      <c r="T16" s="4">
        <v>139</v>
      </c>
      <c r="U16" s="4">
        <v>139</v>
      </c>
      <c r="V16" s="3"/>
      <c r="W16" s="3"/>
    </row>
    <row r="17" spans="1:23" ht="60" x14ac:dyDescent="0.25">
      <c r="A17">
        <v>16</v>
      </c>
      <c r="B17" s="49" t="s">
        <v>48</v>
      </c>
      <c r="C17" s="50" t="s">
        <v>102</v>
      </c>
      <c r="D17" s="24" t="s">
        <v>45</v>
      </c>
      <c r="E17" s="3" t="s">
        <v>33</v>
      </c>
      <c r="F17" s="5">
        <v>9103001267</v>
      </c>
      <c r="G17" s="5"/>
      <c r="H17" s="78">
        <v>2</v>
      </c>
      <c r="I17" s="3"/>
      <c r="J17" s="3"/>
      <c r="K17" s="3"/>
      <c r="L17" s="3"/>
      <c r="M17" s="4">
        <v>51</v>
      </c>
      <c r="N17" s="4">
        <v>51</v>
      </c>
      <c r="O17" s="4">
        <v>51</v>
      </c>
      <c r="P17" s="4">
        <v>70</v>
      </c>
      <c r="Q17" s="4">
        <v>70</v>
      </c>
      <c r="R17" s="4">
        <v>70</v>
      </c>
      <c r="S17" s="4">
        <v>144</v>
      </c>
      <c r="T17" s="4">
        <v>144</v>
      </c>
      <c r="U17" s="4">
        <v>144</v>
      </c>
      <c r="V17" s="3"/>
      <c r="W17" s="3"/>
    </row>
    <row r="18" spans="1:23" ht="30" x14ac:dyDescent="0.25">
      <c r="A18">
        <v>17</v>
      </c>
      <c r="B18" s="14" t="s">
        <v>49</v>
      </c>
      <c r="C18" s="14"/>
      <c r="D18" s="24" t="s">
        <v>66</v>
      </c>
      <c r="E18" s="3" t="s">
        <v>33</v>
      </c>
      <c r="F18" s="5">
        <v>2633003556</v>
      </c>
      <c r="G18" s="5">
        <v>38</v>
      </c>
      <c r="H18" s="78"/>
      <c r="I18" s="3"/>
      <c r="J18" s="3"/>
      <c r="K18" s="3"/>
      <c r="L18" s="3"/>
      <c r="M18" s="4" t="s">
        <v>52</v>
      </c>
      <c r="N18" s="4" t="s">
        <v>52</v>
      </c>
      <c r="O18" s="4" t="s">
        <v>52</v>
      </c>
      <c r="P18" s="4" t="s">
        <v>65</v>
      </c>
      <c r="Q18" s="4" t="s">
        <v>65</v>
      </c>
      <c r="R18" s="4" t="s">
        <v>65</v>
      </c>
      <c r="S18" s="62" t="s">
        <v>205</v>
      </c>
      <c r="T18" s="62" t="s">
        <v>205</v>
      </c>
      <c r="U18" s="62" t="s">
        <v>205</v>
      </c>
      <c r="V18" s="3"/>
      <c r="W18" s="3"/>
    </row>
    <row r="19" spans="1:23" ht="75" x14ac:dyDescent="0.25">
      <c r="A19">
        <v>18</v>
      </c>
      <c r="B19" s="39" t="s">
        <v>58</v>
      </c>
      <c r="C19" s="43" t="s">
        <v>92</v>
      </c>
      <c r="D19" s="24" t="s">
        <v>47</v>
      </c>
      <c r="E19" s="10" t="s">
        <v>33</v>
      </c>
      <c r="F19" s="5">
        <v>2631017874</v>
      </c>
      <c r="G19" s="5"/>
      <c r="H19" s="79">
        <v>7</v>
      </c>
      <c r="I19" s="3"/>
      <c r="J19" s="3"/>
      <c r="K19" s="3"/>
      <c r="L19" s="3"/>
      <c r="M19" s="3"/>
      <c r="N19" s="3"/>
      <c r="O19" s="3"/>
      <c r="P19" s="4">
        <v>65</v>
      </c>
      <c r="Q19" s="4">
        <v>65</v>
      </c>
      <c r="R19" s="4">
        <v>65</v>
      </c>
      <c r="S19" s="4">
        <v>123</v>
      </c>
      <c r="T19" s="4">
        <v>123</v>
      </c>
      <c r="U19" s="4">
        <v>123</v>
      </c>
      <c r="V19" s="3"/>
      <c r="W19" s="3"/>
    </row>
    <row r="20" spans="1:23" ht="45" x14ac:dyDescent="0.25">
      <c r="A20">
        <v>19</v>
      </c>
      <c r="B20" s="21" t="s">
        <v>62</v>
      </c>
      <c r="C20" s="50" t="s">
        <v>104</v>
      </c>
      <c r="D20" s="24" t="s">
        <v>59</v>
      </c>
      <c r="E20" s="3" t="s">
        <v>33</v>
      </c>
      <c r="F20" s="5">
        <v>9111023105</v>
      </c>
      <c r="G20" s="5"/>
      <c r="H20" s="78">
        <v>2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45" x14ac:dyDescent="0.25">
      <c r="A21">
        <v>20</v>
      </c>
      <c r="B21" s="14" t="s">
        <v>10</v>
      </c>
      <c r="C21" s="32" t="s">
        <v>122</v>
      </c>
      <c r="D21" s="22" t="s">
        <v>63</v>
      </c>
      <c r="E21" s="3" t="s">
        <v>33</v>
      </c>
      <c r="F21" s="5">
        <v>2635221863</v>
      </c>
      <c r="G21" s="5"/>
      <c r="H21" s="79">
        <v>15</v>
      </c>
      <c r="I21" s="3"/>
      <c r="J21" s="3"/>
      <c r="K21" s="3"/>
      <c r="L21" s="3"/>
      <c r="M21" s="3"/>
      <c r="N21" s="3"/>
      <c r="O21" s="3"/>
      <c r="P21" s="4">
        <v>62</v>
      </c>
      <c r="Q21" s="4">
        <v>62</v>
      </c>
      <c r="R21" s="4">
        <v>62</v>
      </c>
      <c r="S21" s="4">
        <v>128</v>
      </c>
      <c r="T21" s="4">
        <v>128</v>
      </c>
      <c r="U21" s="4">
        <v>128</v>
      </c>
      <c r="V21" s="3"/>
      <c r="W21" s="3"/>
    </row>
    <row r="22" spans="1:23" ht="30" x14ac:dyDescent="0.25">
      <c r="A22">
        <v>21</v>
      </c>
      <c r="B22" s="32" t="s">
        <v>67</v>
      </c>
      <c r="C22" s="14"/>
      <c r="D22" s="24" t="s">
        <v>121</v>
      </c>
      <c r="E22" s="3" t="s">
        <v>33</v>
      </c>
      <c r="F22" s="5">
        <v>2633001943</v>
      </c>
      <c r="G22" s="5">
        <v>16</v>
      </c>
      <c r="H22" s="78"/>
      <c r="I22" s="3"/>
      <c r="J22" s="3"/>
      <c r="K22" s="3"/>
      <c r="L22" s="3"/>
      <c r="M22" s="3"/>
      <c r="N22" s="3"/>
      <c r="O22" s="3"/>
      <c r="P22" s="4">
        <v>71</v>
      </c>
      <c r="Q22" s="4">
        <v>71</v>
      </c>
      <c r="R22" s="4">
        <v>71</v>
      </c>
      <c r="S22" s="4">
        <v>136</v>
      </c>
      <c r="T22" s="4">
        <v>136</v>
      </c>
      <c r="U22" s="4">
        <v>136</v>
      </c>
      <c r="V22" s="3"/>
      <c r="W22" s="3"/>
    </row>
    <row r="23" spans="1:23" ht="30" x14ac:dyDescent="0.25">
      <c r="A23">
        <v>22</v>
      </c>
      <c r="B23" s="3" t="s">
        <v>74</v>
      </c>
      <c r="C23" s="3"/>
      <c r="D23" s="22" t="s">
        <v>75</v>
      </c>
      <c r="E23" s="10" t="s">
        <v>33</v>
      </c>
      <c r="F23" s="5">
        <v>2631018148</v>
      </c>
      <c r="G23" s="86">
        <v>21</v>
      </c>
      <c r="H23" s="78"/>
      <c r="I23" s="3"/>
      <c r="J23" s="3"/>
      <c r="K23" s="3"/>
      <c r="L23" s="3"/>
      <c r="M23" s="3"/>
      <c r="N23" s="3"/>
      <c r="O23" s="3"/>
      <c r="P23" s="4">
        <v>72</v>
      </c>
      <c r="Q23" s="4">
        <v>72</v>
      </c>
      <c r="R23" s="4">
        <v>72</v>
      </c>
      <c r="S23" s="4">
        <v>77</v>
      </c>
      <c r="T23" s="4">
        <v>79</v>
      </c>
      <c r="U23" s="4">
        <v>116</v>
      </c>
      <c r="V23" s="10"/>
      <c r="W23" s="10"/>
    </row>
    <row r="24" spans="1:23" ht="45" x14ac:dyDescent="0.25">
      <c r="A24">
        <v>23</v>
      </c>
      <c r="B24" s="63" t="s">
        <v>80</v>
      </c>
      <c r="C24" s="64" t="s">
        <v>106</v>
      </c>
      <c r="D24" s="22" t="s">
        <v>81</v>
      </c>
      <c r="E24" s="3" t="s">
        <v>33</v>
      </c>
      <c r="F24" s="55">
        <v>9204564019</v>
      </c>
      <c r="G24" s="55"/>
      <c r="H24" s="80">
        <v>2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45" x14ac:dyDescent="0.25">
      <c r="A25">
        <v>24</v>
      </c>
      <c r="B25" s="14" t="s">
        <v>113</v>
      </c>
      <c r="C25" s="32" t="s">
        <v>114</v>
      </c>
      <c r="D25" s="53" t="s">
        <v>115</v>
      </c>
      <c r="E25" s="10" t="s">
        <v>33</v>
      </c>
      <c r="F25" s="58">
        <v>2634103698</v>
      </c>
      <c r="G25" s="56"/>
      <c r="H25" s="81">
        <v>2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51" customHeight="1" x14ac:dyDescent="0.25">
      <c r="A26">
        <v>25</v>
      </c>
      <c r="B26" s="66" t="s">
        <v>116</v>
      </c>
      <c r="C26" s="67" t="s">
        <v>117</v>
      </c>
      <c r="D26" s="53" t="s">
        <v>118</v>
      </c>
      <c r="E26" s="10" t="s">
        <v>33</v>
      </c>
      <c r="F26" s="3">
        <v>2608800685</v>
      </c>
      <c r="G26" s="3"/>
      <c r="H26" s="76">
        <v>1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8">
        <v>162</v>
      </c>
      <c r="T26" s="8">
        <v>162</v>
      </c>
      <c r="U26" s="8">
        <v>162</v>
      </c>
      <c r="V26" s="3"/>
      <c r="W26" s="3"/>
    </row>
    <row r="27" spans="1:23" x14ac:dyDescent="0.25">
      <c r="A27">
        <v>26</v>
      </c>
      <c r="B27" s="3" t="s">
        <v>130</v>
      </c>
      <c r="C27" s="3"/>
      <c r="D27" s="3"/>
      <c r="E27" s="3"/>
      <c r="F27" s="3"/>
      <c r="G27" s="3"/>
      <c r="H27" s="3">
        <v>5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4">
        <v>159</v>
      </c>
      <c r="T27" s="4">
        <v>159</v>
      </c>
      <c r="U27" s="4">
        <v>159</v>
      </c>
      <c r="V27" s="3"/>
      <c r="W27" s="3"/>
    </row>
    <row r="28" spans="1:23" ht="45" x14ac:dyDescent="0.25">
      <c r="A28">
        <v>27</v>
      </c>
      <c r="B28" s="65" t="s">
        <v>131</v>
      </c>
      <c r="C28" s="63" t="s">
        <v>132</v>
      </c>
      <c r="D28" s="53" t="s">
        <v>133</v>
      </c>
      <c r="E28" s="10" t="s">
        <v>33</v>
      </c>
      <c r="F28" s="3">
        <v>9111016299</v>
      </c>
      <c r="G28" s="3"/>
      <c r="H28" s="3">
        <v>6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60" x14ac:dyDescent="0.25">
      <c r="A29">
        <v>28</v>
      </c>
      <c r="B29" s="14" t="s">
        <v>134</v>
      </c>
      <c r="C29" s="32" t="s">
        <v>135</v>
      </c>
      <c r="D29" s="53" t="s">
        <v>136</v>
      </c>
      <c r="E29" s="10" t="s">
        <v>33</v>
      </c>
      <c r="F29" s="3">
        <v>2634101490</v>
      </c>
      <c r="G29" s="76"/>
      <c r="H29" s="76">
        <v>2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4">
        <v>150</v>
      </c>
      <c r="T29" s="4">
        <v>150</v>
      </c>
      <c r="U29" s="4">
        <v>150</v>
      </c>
      <c r="V29" s="3"/>
      <c r="W29" s="3"/>
    </row>
    <row r="30" spans="1:23" ht="75" x14ac:dyDescent="0.25">
      <c r="A30">
        <v>29</v>
      </c>
      <c r="B30" s="32" t="s">
        <v>139</v>
      </c>
      <c r="C30" s="32" t="s">
        <v>138</v>
      </c>
      <c r="D30" s="53" t="s">
        <v>137</v>
      </c>
      <c r="E30" s="10" t="s">
        <v>33</v>
      </c>
      <c r="F30" s="3">
        <v>2634077208</v>
      </c>
      <c r="G30" s="3"/>
      <c r="H30" s="3">
        <v>1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4">
        <v>120</v>
      </c>
      <c r="T30" s="4">
        <v>120</v>
      </c>
      <c r="U30" s="4">
        <v>120</v>
      </c>
      <c r="V30" s="3"/>
      <c r="W30" s="3"/>
    </row>
    <row r="31" spans="1:23" ht="60" x14ac:dyDescent="0.25">
      <c r="A31">
        <v>30</v>
      </c>
      <c r="B31" s="32" t="s">
        <v>140</v>
      </c>
      <c r="C31" s="32" t="s">
        <v>142</v>
      </c>
      <c r="D31" s="53" t="s">
        <v>141</v>
      </c>
      <c r="E31" s="10" t="s">
        <v>33</v>
      </c>
      <c r="F31" s="3">
        <v>2634079300</v>
      </c>
      <c r="G31" s="3"/>
      <c r="H31" s="3">
        <v>2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4">
        <v>130</v>
      </c>
      <c r="T31" s="4">
        <v>130</v>
      </c>
      <c r="U31" s="4">
        <v>130</v>
      </c>
      <c r="V31" s="3"/>
      <c r="W31" s="3"/>
    </row>
    <row r="32" spans="1:23" ht="45" x14ac:dyDescent="0.25">
      <c r="A32">
        <v>31</v>
      </c>
      <c r="B32" s="22" t="s">
        <v>147</v>
      </c>
      <c r="C32" s="22" t="s">
        <v>149</v>
      </c>
      <c r="D32" s="53" t="s">
        <v>148</v>
      </c>
      <c r="E32" s="3" t="s">
        <v>33</v>
      </c>
      <c r="F32" s="3">
        <v>2634049360</v>
      </c>
      <c r="G32" s="3"/>
      <c r="H32" s="3">
        <v>13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4">
        <v>109</v>
      </c>
      <c r="T32" s="4">
        <v>109</v>
      </c>
      <c r="U32" s="4">
        <v>109</v>
      </c>
      <c r="V32" s="3"/>
      <c r="W32" s="3"/>
    </row>
    <row r="33" spans="1:23" ht="60" x14ac:dyDescent="0.25">
      <c r="A33">
        <v>32</v>
      </c>
      <c r="B33" s="14" t="s">
        <v>151</v>
      </c>
      <c r="C33" s="32" t="s">
        <v>152</v>
      </c>
      <c r="D33" s="53" t="s">
        <v>153</v>
      </c>
      <c r="E33" s="3" t="s">
        <v>33</v>
      </c>
      <c r="F33" s="3">
        <v>2636052167</v>
      </c>
      <c r="G33" s="3"/>
      <c r="H33" s="3">
        <v>1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ht="45" x14ac:dyDescent="0.25">
      <c r="A34">
        <v>33</v>
      </c>
      <c r="B34" s="14" t="s">
        <v>154</v>
      </c>
      <c r="C34" s="32" t="s">
        <v>145</v>
      </c>
      <c r="D34" s="53" t="s">
        <v>143</v>
      </c>
      <c r="E34" s="3" t="s">
        <v>33</v>
      </c>
      <c r="F34" s="3">
        <v>2633003193</v>
      </c>
      <c r="G34" s="3"/>
      <c r="H34" s="3">
        <v>25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4">
        <v>80</v>
      </c>
      <c r="T34" s="4">
        <v>80</v>
      </c>
      <c r="U34" s="4">
        <v>80</v>
      </c>
      <c r="V34" s="3"/>
      <c r="W34" s="3"/>
    </row>
    <row r="35" spans="1:23" ht="60" x14ac:dyDescent="0.25">
      <c r="A35">
        <v>34</v>
      </c>
      <c r="B35" s="3" t="s">
        <v>155</v>
      </c>
      <c r="C35" s="22" t="s">
        <v>156</v>
      </c>
      <c r="D35" s="53" t="s">
        <v>164</v>
      </c>
      <c r="E35" s="3" t="s">
        <v>32</v>
      </c>
      <c r="F35" s="3">
        <v>2631016895</v>
      </c>
      <c r="G35" s="98">
        <v>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4">
        <v>104</v>
      </c>
      <c r="T35" s="4">
        <v>104</v>
      </c>
      <c r="U35" s="4">
        <v>104</v>
      </c>
      <c r="V35" s="3"/>
      <c r="W35" s="3"/>
    </row>
    <row r="36" spans="1:23" ht="45" x14ac:dyDescent="0.25">
      <c r="A36">
        <v>35</v>
      </c>
      <c r="B36" s="14" t="s">
        <v>144</v>
      </c>
      <c r="C36" s="32" t="s">
        <v>284</v>
      </c>
      <c r="D36" s="53" t="s">
        <v>157</v>
      </c>
      <c r="E36" s="3" t="s">
        <v>33</v>
      </c>
      <c r="F36" s="3">
        <v>2633004373</v>
      </c>
      <c r="G36" s="84">
        <v>54</v>
      </c>
      <c r="H36" s="76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4">
        <v>81</v>
      </c>
      <c r="U36" s="4">
        <v>127</v>
      </c>
      <c r="V36" s="3"/>
      <c r="W36" s="3"/>
    </row>
    <row r="37" spans="1:23" ht="60" x14ac:dyDescent="0.25">
      <c r="A37">
        <v>36</v>
      </c>
      <c r="B37" s="32" t="s">
        <v>160</v>
      </c>
      <c r="C37" s="32" t="s">
        <v>162</v>
      </c>
      <c r="D37" s="53" t="s">
        <v>161</v>
      </c>
      <c r="E37" s="3" t="s">
        <v>33</v>
      </c>
      <c r="F37" s="3">
        <v>2633002873</v>
      </c>
      <c r="G37" s="77">
        <v>17</v>
      </c>
      <c r="H37" s="76"/>
      <c r="I37" s="3"/>
      <c r="J37" s="3"/>
      <c r="K37" s="3"/>
      <c r="L37" s="3"/>
      <c r="M37" s="3"/>
      <c r="N37" s="3"/>
      <c r="O37" s="3"/>
      <c r="P37" s="3"/>
      <c r="Q37" s="3"/>
      <c r="R37" s="3"/>
      <c r="S37" s="92">
        <v>82</v>
      </c>
      <c r="T37" s="92">
        <v>82</v>
      </c>
      <c r="U37" s="92">
        <v>82</v>
      </c>
      <c r="V37" s="3"/>
      <c r="W37" s="3"/>
    </row>
    <row r="38" spans="1:23" ht="45" x14ac:dyDescent="0.25">
      <c r="A38">
        <v>37</v>
      </c>
      <c r="B38" s="14" t="s">
        <v>158</v>
      </c>
      <c r="C38" s="32" t="s">
        <v>163</v>
      </c>
      <c r="D38" s="53" t="s">
        <v>159</v>
      </c>
      <c r="E38" s="3" t="s">
        <v>33</v>
      </c>
      <c r="F38" s="3">
        <v>2636004646</v>
      </c>
      <c r="G38" s="77"/>
      <c r="H38" s="76">
        <v>2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4">
        <v>84</v>
      </c>
      <c r="T38" s="4">
        <v>84</v>
      </c>
      <c r="U38" s="4">
        <v>84</v>
      </c>
      <c r="V38" s="3"/>
      <c r="W38" s="3"/>
    </row>
    <row r="39" spans="1:23" ht="60" x14ac:dyDescent="0.25">
      <c r="A39">
        <v>38</v>
      </c>
      <c r="B39" s="14" t="s">
        <v>165</v>
      </c>
      <c r="C39" s="32" t="s">
        <v>167</v>
      </c>
      <c r="D39" s="53" t="s">
        <v>166</v>
      </c>
      <c r="E39" s="3" t="s">
        <v>33</v>
      </c>
      <c r="F39" s="3">
        <v>2636041790</v>
      </c>
      <c r="G39" s="77">
        <v>2</v>
      </c>
      <c r="H39" s="76"/>
      <c r="I39" s="3"/>
      <c r="J39" s="3"/>
      <c r="K39" s="3"/>
      <c r="L39" s="3"/>
      <c r="M39" s="3"/>
      <c r="N39" s="3"/>
      <c r="O39" s="3"/>
      <c r="P39" s="3"/>
      <c r="Q39" s="3"/>
      <c r="R39" s="3"/>
      <c r="S39" s="4">
        <v>83</v>
      </c>
      <c r="T39" s="4">
        <v>83</v>
      </c>
      <c r="U39" s="4">
        <v>83</v>
      </c>
      <c r="V39" s="3"/>
      <c r="W39" s="3"/>
    </row>
    <row r="40" spans="1:23" ht="60" x14ac:dyDescent="0.25">
      <c r="A40">
        <v>39</v>
      </c>
      <c r="B40" s="14" t="s">
        <v>168</v>
      </c>
      <c r="C40" s="32" t="s">
        <v>169</v>
      </c>
      <c r="D40" s="53" t="s">
        <v>170</v>
      </c>
      <c r="E40" s="3" t="s">
        <v>33</v>
      </c>
      <c r="F40" s="3">
        <v>2633005306</v>
      </c>
      <c r="G40" s="77">
        <v>3</v>
      </c>
      <c r="H40" s="76"/>
      <c r="I40" s="3"/>
      <c r="J40" s="3"/>
      <c r="K40" s="3"/>
      <c r="L40" s="3"/>
      <c r="M40" s="3"/>
      <c r="N40" s="3"/>
      <c r="O40" s="3"/>
      <c r="P40" s="3"/>
      <c r="Q40" s="3"/>
      <c r="R40" s="3"/>
      <c r="S40" s="4">
        <v>86</v>
      </c>
      <c r="T40" s="4">
        <v>86</v>
      </c>
      <c r="U40" s="4">
        <v>86</v>
      </c>
      <c r="V40" s="3"/>
      <c r="W40" s="3"/>
    </row>
    <row r="41" spans="1:23" ht="60" x14ac:dyDescent="0.25">
      <c r="A41">
        <v>40</v>
      </c>
      <c r="B41" s="14" t="s">
        <v>171</v>
      </c>
      <c r="C41" s="32" t="s">
        <v>172</v>
      </c>
      <c r="D41" s="53" t="s">
        <v>173</v>
      </c>
      <c r="E41" s="3" t="s">
        <v>33</v>
      </c>
      <c r="F41" s="3">
        <v>2635085339</v>
      </c>
      <c r="G41" s="77"/>
      <c r="H41" s="76">
        <v>2</v>
      </c>
      <c r="I41" s="3"/>
      <c r="J41" s="3"/>
      <c r="K41" s="3"/>
      <c r="L41" s="3"/>
      <c r="M41" s="3"/>
      <c r="N41" s="3"/>
      <c r="O41" s="3"/>
      <c r="P41" s="4"/>
      <c r="Q41" s="4"/>
      <c r="R41" s="4"/>
      <c r="S41" s="4">
        <v>87</v>
      </c>
      <c r="T41" s="4">
        <v>87</v>
      </c>
      <c r="U41" s="4">
        <v>87</v>
      </c>
      <c r="V41" s="3"/>
      <c r="W41" s="3"/>
    </row>
    <row r="42" spans="1:23" ht="60" x14ac:dyDescent="0.25">
      <c r="A42">
        <v>41</v>
      </c>
      <c r="B42" s="14" t="s">
        <v>174</v>
      </c>
      <c r="C42" s="32" t="s">
        <v>175</v>
      </c>
      <c r="D42" s="53" t="s">
        <v>176</v>
      </c>
      <c r="E42" s="3" t="s">
        <v>33</v>
      </c>
      <c r="F42" s="3">
        <v>2635091205</v>
      </c>
      <c r="G42" s="77"/>
      <c r="H42" s="76">
        <v>1</v>
      </c>
      <c r="I42" s="3"/>
      <c r="J42" s="3"/>
      <c r="K42" s="3"/>
      <c r="L42" s="3"/>
      <c r="M42" s="3"/>
      <c r="N42" s="3"/>
      <c r="O42" s="3"/>
      <c r="P42" s="4"/>
      <c r="Q42" s="4"/>
      <c r="R42" s="4"/>
      <c r="S42" s="4">
        <v>88</v>
      </c>
      <c r="T42" s="4">
        <v>88</v>
      </c>
      <c r="U42" s="4">
        <v>88</v>
      </c>
      <c r="V42" s="3"/>
      <c r="W42" s="3"/>
    </row>
    <row r="43" spans="1:23" ht="30" x14ac:dyDescent="0.25">
      <c r="A43">
        <v>42</v>
      </c>
      <c r="B43" s="14" t="s">
        <v>177</v>
      </c>
      <c r="C43" s="32" t="s">
        <v>178</v>
      </c>
      <c r="D43" s="53" t="s">
        <v>179</v>
      </c>
      <c r="E43" s="3" t="s">
        <v>33</v>
      </c>
      <c r="F43" s="3">
        <v>2633001990</v>
      </c>
      <c r="G43" s="91">
        <v>6</v>
      </c>
      <c r="H43" s="76"/>
      <c r="I43" s="3"/>
      <c r="J43" s="3"/>
      <c r="K43" s="3"/>
      <c r="L43" s="3"/>
      <c r="M43" s="3"/>
      <c r="N43" s="3"/>
      <c r="O43" s="3"/>
      <c r="P43" s="3"/>
      <c r="Q43" s="3"/>
      <c r="R43" s="3"/>
      <c r="S43" s="4">
        <v>89</v>
      </c>
      <c r="T43" s="4">
        <v>89</v>
      </c>
      <c r="U43" s="4">
        <v>89</v>
      </c>
      <c r="V43" s="3"/>
      <c r="W43" s="3"/>
    </row>
    <row r="44" spans="1:23" ht="105" x14ac:dyDescent="0.25">
      <c r="A44">
        <v>43</v>
      </c>
      <c r="B44" s="88" t="s">
        <v>180</v>
      </c>
      <c r="C44" s="30" t="s">
        <v>181</v>
      </c>
      <c r="D44" s="94" t="s">
        <v>257</v>
      </c>
      <c r="E44" s="89" t="s">
        <v>33</v>
      </c>
      <c r="F44" s="3">
        <v>2610005839</v>
      </c>
      <c r="G44" s="77"/>
      <c r="H44" s="83">
        <v>5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4">
        <v>90</v>
      </c>
      <c r="T44" s="4">
        <v>90</v>
      </c>
      <c r="U44" s="4">
        <v>90</v>
      </c>
      <c r="V44" s="3"/>
      <c r="W44" s="3"/>
    </row>
    <row r="45" spans="1:23" ht="60" x14ac:dyDescent="0.25">
      <c r="A45">
        <v>44</v>
      </c>
      <c r="B45" s="14" t="s">
        <v>182</v>
      </c>
      <c r="C45" s="32" t="s">
        <v>187</v>
      </c>
      <c r="D45" s="53" t="s">
        <v>183</v>
      </c>
      <c r="E45" s="3" t="s">
        <v>33</v>
      </c>
      <c r="F45" s="3">
        <v>2635070950</v>
      </c>
      <c r="G45" s="77">
        <v>13</v>
      </c>
      <c r="H45" s="76"/>
      <c r="I45" s="3"/>
      <c r="J45" s="3"/>
      <c r="K45" s="3"/>
      <c r="L45" s="3"/>
      <c r="M45" s="3"/>
      <c r="N45" s="3"/>
      <c r="O45" s="3"/>
      <c r="P45" s="3"/>
      <c r="Q45" s="3"/>
      <c r="R45" s="3"/>
      <c r="S45" s="4">
        <v>91</v>
      </c>
      <c r="T45" s="4">
        <v>91</v>
      </c>
      <c r="U45" s="4">
        <v>91</v>
      </c>
      <c r="V45" s="3"/>
      <c r="W45" s="3"/>
    </row>
    <row r="46" spans="1:23" ht="75" x14ac:dyDescent="0.25">
      <c r="A46">
        <v>45</v>
      </c>
      <c r="B46" s="14" t="s">
        <v>184</v>
      </c>
      <c r="C46" s="32" t="s">
        <v>186</v>
      </c>
      <c r="D46" s="53" t="s">
        <v>185</v>
      </c>
      <c r="E46" s="3" t="s">
        <v>33</v>
      </c>
      <c r="F46" s="3">
        <v>2635101220</v>
      </c>
      <c r="G46" s="77"/>
      <c r="H46" s="76">
        <v>1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4">
        <v>92</v>
      </c>
      <c r="T46" s="4">
        <v>92</v>
      </c>
      <c r="U46" s="4">
        <v>92</v>
      </c>
      <c r="V46" s="3"/>
      <c r="W46" s="3"/>
    </row>
    <row r="47" spans="1:23" ht="75" x14ac:dyDescent="0.25">
      <c r="A47">
        <v>46</v>
      </c>
      <c r="B47" s="87" t="s">
        <v>188</v>
      </c>
      <c r="C47" s="87" t="s">
        <v>190</v>
      </c>
      <c r="D47" s="53" t="s">
        <v>189</v>
      </c>
      <c r="E47" s="3" t="s">
        <v>33</v>
      </c>
      <c r="F47" s="3">
        <v>2602000587</v>
      </c>
      <c r="G47" s="77"/>
      <c r="H47" s="76">
        <v>1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4">
        <v>93</v>
      </c>
      <c r="T47" s="4">
        <v>93</v>
      </c>
      <c r="U47" s="4">
        <v>93</v>
      </c>
      <c r="V47" s="3"/>
      <c r="W47" s="3"/>
    </row>
    <row r="48" spans="1:23" ht="60" x14ac:dyDescent="0.25">
      <c r="A48">
        <v>47</v>
      </c>
      <c r="B48" s="10" t="s">
        <v>191</v>
      </c>
      <c r="C48" s="87" t="s">
        <v>192</v>
      </c>
      <c r="D48" s="94" t="s">
        <v>258</v>
      </c>
      <c r="E48" s="3" t="s">
        <v>33</v>
      </c>
      <c r="F48" s="3">
        <v>2608003746</v>
      </c>
      <c r="G48" s="77"/>
      <c r="H48" s="76">
        <v>2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4">
        <v>95</v>
      </c>
      <c r="T48" s="4">
        <v>95</v>
      </c>
      <c r="U48" s="4">
        <v>95</v>
      </c>
      <c r="V48" s="3"/>
      <c r="W48" s="3"/>
    </row>
    <row r="49" spans="1:23" ht="45" x14ac:dyDescent="0.25">
      <c r="A49">
        <v>48</v>
      </c>
      <c r="B49" s="14" t="s">
        <v>193</v>
      </c>
      <c r="C49" s="32" t="s">
        <v>194</v>
      </c>
      <c r="D49" s="53" t="s">
        <v>195</v>
      </c>
      <c r="E49" s="3" t="s">
        <v>33</v>
      </c>
      <c r="F49" s="3">
        <v>2633002440</v>
      </c>
      <c r="G49" s="77">
        <v>5</v>
      </c>
      <c r="H49" s="76"/>
      <c r="I49" s="3"/>
      <c r="J49" s="3"/>
      <c r="K49" s="3"/>
      <c r="L49" s="3"/>
      <c r="M49" s="3"/>
      <c r="N49" s="3"/>
      <c r="O49" s="3"/>
      <c r="P49" s="3"/>
      <c r="Q49" s="3"/>
      <c r="R49" s="3"/>
      <c r="S49" s="4">
        <v>97</v>
      </c>
      <c r="T49" s="4">
        <v>97</v>
      </c>
      <c r="U49" s="4">
        <v>97</v>
      </c>
      <c r="V49" s="3"/>
      <c r="W49" s="3"/>
    </row>
    <row r="50" spans="1:23" ht="75" x14ac:dyDescent="0.25">
      <c r="A50">
        <v>49</v>
      </c>
      <c r="B50" s="10" t="s">
        <v>196</v>
      </c>
      <c r="C50" s="87" t="s">
        <v>197</v>
      </c>
      <c r="D50" s="53" t="s">
        <v>198</v>
      </c>
      <c r="E50" s="3" t="s">
        <v>33</v>
      </c>
      <c r="F50" s="3">
        <v>2607019567</v>
      </c>
      <c r="G50" s="77"/>
      <c r="H50" s="76">
        <v>1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4">
        <v>98</v>
      </c>
      <c r="T50" s="4">
        <v>98</v>
      </c>
      <c r="U50" s="4">
        <v>98</v>
      </c>
      <c r="V50" s="3"/>
      <c r="W50" s="3"/>
    </row>
    <row r="51" spans="1:23" ht="90" x14ac:dyDescent="0.25">
      <c r="A51">
        <v>50</v>
      </c>
      <c r="B51" s="10" t="s">
        <v>199</v>
      </c>
      <c r="C51" s="90" t="s">
        <v>201</v>
      </c>
      <c r="D51" s="53" t="s">
        <v>203</v>
      </c>
      <c r="E51" s="3" t="s">
        <v>33</v>
      </c>
      <c r="F51" s="3">
        <v>2624800403</v>
      </c>
      <c r="G51" s="77"/>
      <c r="H51" s="76">
        <v>1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4">
        <v>99</v>
      </c>
      <c r="T51" s="4">
        <v>99</v>
      </c>
      <c r="U51" s="4">
        <v>99</v>
      </c>
      <c r="V51" s="3"/>
      <c r="W51" s="3"/>
    </row>
    <row r="52" spans="1:23" ht="90" x14ac:dyDescent="0.25">
      <c r="A52">
        <v>51</v>
      </c>
      <c r="B52" s="10" t="s">
        <v>200</v>
      </c>
      <c r="C52" s="87" t="s">
        <v>202</v>
      </c>
      <c r="D52" s="53" t="s">
        <v>204</v>
      </c>
      <c r="E52" s="3" t="s">
        <v>33</v>
      </c>
      <c r="F52" s="3">
        <v>2624030095</v>
      </c>
      <c r="G52" s="77"/>
      <c r="H52" s="76">
        <v>1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4">
        <v>100</v>
      </c>
      <c r="T52" s="4">
        <v>100</v>
      </c>
      <c r="U52" s="4">
        <v>100</v>
      </c>
      <c r="V52" s="3"/>
      <c r="W52" s="3"/>
    </row>
    <row r="53" spans="1:23" ht="60" x14ac:dyDescent="0.25">
      <c r="A53">
        <v>52</v>
      </c>
      <c r="B53" s="10" t="s">
        <v>206</v>
      </c>
      <c r="C53" s="87" t="s">
        <v>208</v>
      </c>
      <c r="D53" s="53" t="s">
        <v>207</v>
      </c>
      <c r="E53" s="3" t="s">
        <v>33</v>
      </c>
      <c r="F53" s="3">
        <v>910003300</v>
      </c>
      <c r="G53" s="77">
        <v>29</v>
      </c>
      <c r="H53" s="76"/>
      <c r="I53" s="3"/>
      <c r="J53" s="3"/>
      <c r="K53" s="3"/>
      <c r="L53" s="3"/>
      <c r="M53" s="3"/>
      <c r="N53" s="3"/>
      <c r="O53" s="3"/>
      <c r="P53" s="3"/>
      <c r="Q53" s="3"/>
      <c r="R53" s="3"/>
      <c r="S53" s="4">
        <v>102</v>
      </c>
      <c r="T53" s="4">
        <v>102</v>
      </c>
      <c r="U53" s="4">
        <v>102</v>
      </c>
      <c r="V53" s="3"/>
      <c r="W53" s="3"/>
    </row>
    <row r="54" spans="1:23" ht="45" x14ac:dyDescent="0.25">
      <c r="A54">
        <v>53</v>
      </c>
      <c r="B54" s="32" t="s">
        <v>209</v>
      </c>
      <c r="C54" s="32" t="s">
        <v>210</v>
      </c>
      <c r="D54" s="93" t="s">
        <v>211</v>
      </c>
      <c r="E54" s="3" t="s">
        <v>33</v>
      </c>
      <c r="F54" s="3">
        <v>2633005289</v>
      </c>
      <c r="G54" s="77">
        <v>14</v>
      </c>
      <c r="H54" s="76"/>
      <c r="I54" s="3"/>
      <c r="J54" s="3"/>
      <c r="K54" s="3"/>
      <c r="L54" s="3"/>
      <c r="M54" s="3"/>
      <c r="N54" s="3"/>
      <c r="O54" s="3"/>
      <c r="P54" s="3"/>
      <c r="Q54" s="3"/>
      <c r="R54" s="3"/>
      <c r="S54" s="4">
        <v>103</v>
      </c>
      <c r="T54" s="4">
        <v>103</v>
      </c>
      <c r="U54" s="4">
        <v>103</v>
      </c>
      <c r="V54" s="3"/>
      <c r="W54" s="3"/>
    </row>
    <row r="55" spans="1:23" ht="45" x14ac:dyDescent="0.25">
      <c r="A55">
        <v>54</v>
      </c>
      <c r="B55" s="32" t="s">
        <v>212</v>
      </c>
      <c r="C55" s="32" t="s">
        <v>213</v>
      </c>
      <c r="D55" s="93" t="s">
        <v>214</v>
      </c>
      <c r="E55" s="3" t="s">
        <v>33</v>
      </c>
      <c r="F55" s="3">
        <v>2635134106</v>
      </c>
      <c r="G55" s="77"/>
      <c r="H55" s="76">
        <v>1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4">
        <v>108</v>
      </c>
      <c r="T55" s="4">
        <v>108</v>
      </c>
      <c r="U55" s="4">
        <v>108</v>
      </c>
      <c r="V55" s="3"/>
      <c r="W55" s="3"/>
    </row>
    <row r="56" spans="1:23" ht="60" x14ac:dyDescent="0.25">
      <c r="A56">
        <v>55</v>
      </c>
      <c r="B56" s="32" t="s">
        <v>215</v>
      </c>
      <c r="C56" s="32" t="s">
        <v>217</v>
      </c>
      <c r="D56" s="93" t="s">
        <v>216</v>
      </c>
      <c r="E56" s="3" t="s">
        <v>33</v>
      </c>
      <c r="F56" s="3">
        <v>2636089294</v>
      </c>
      <c r="G56" s="77"/>
      <c r="H56" s="83">
        <v>7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4">
        <v>107</v>
      </c>
      <c r="T56" s="4">
        <v>107</v>
      </c>
      <c r="U56" s="4">
        <v>107</v>
      </c>
      <c r="V56" s="3"/>
      <c r="W56" s="3"/>
    </row>
    <row r="57" spans="1:23" ht="75" x14ac:dyDescent="0.25">
      <c r="A57">
        <v>56</v>
      </c>
      <c r="B57" s="87" t="s">
        <v>218</v>
      </c>
      <c r="C57" s="87" t="s">
        <v>219</v>
      </c>
      <c r="D57" s="53" t="s">
        <v>220</v>
      </c>
      <c r="E57" s="3" t="s">
        <v>33</v>
      </c>
      <c r="F57" s="3">
        <v>2624028635</v>
      </c>
      <c r="G57" s="77">
        <v>33</v>
      </c>
      <c r="H57" s="76"/>
      <c r="I57" s="3"/>
      <c r="J57" s="3"/>
      <c r="K57" s="3"/>
      <c r="L57" s="3"/>
      <c r="M57" s="3"/>
      <c r="N57" s="3"/>
      <c r="O57" s="3"/>
      <c r="P57" s="3"/>
      <c r="Q57" s="3"/>
      <c r="R57" s="3"/>
      <c r="S57" s="4">
        <v>105</v>
      </c>
      <c r="T57" s="4">
        <v>105</v>
      </c>
      <c r="U57" s="4">
        <v>105</v>
      </c>
      <c r="V57" s="3"/>
      <c r="W57" s="3"/>
    </row>
    <row r="58" spans="1:23" ht="45" x14ac:dyDescent="0.25">
      <c r="A58">
        <v>57</v>
      </c>
      <c r="B58" s="32" t="s">
        <v>223</v>
      </c>
      <c r="C58" s="32" t="s">
        <v>222</v>
      </c>
      <c r="D58" s="93" t="s">
        <v>221</v>
      </c>
      <c r="E58" s="3" t="s">
        <v>33</v>
      </c>
      <c r="F58" s="3">
        <v>2634803347</v>
      </c>
      <c r="G58" s="77"/>
      <c r="H58" s="76">
        <v>2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4">
        <v>106</v>
      </c>
      <c r="T58" s="4">
        <v>106</v>
      </c>
      <c r="U58" s="4">
        <v>106</v>
      </c>
      <c r="V58" s="3"/>
      <c r="W58" s="3"/>
    </row>
    <row r="59" spans="1:23" ht="60" x14ac:dyDescent="0.25">
      <c r="A59">
        <v>58</v>
      </c>
      <c r="B59" s="32" t="s">
        <v>224</v>
      </c>
      <c r="C59" s="87" t="s">
        <v>225</v>
      </c>
      <c r="D59" s="93" t="s">
        <v>226</v>
      </c>
      <c r="E59" s="3" t="s">
        <v>33</v>
      </c>
      <c r="F59" s="3">
        <v>2633001950</v>
      </c>
      <c r="G59" s="77">
        <v>17</v>
      </c>
      <c r="H59" s="76"/>
      <c r="I59" s="3"/>
      <c r="J59" s="3"/>
      <c r="K59" s="3"/>
      <c r="L59" s="3"/>
      <c r="M59" s="3"/>
      <c r="N59" s="3"/>
      <c r="O59" s="3"/>
      <c r="P59" s="3"/>
      <c r="Q59" s="3"/>
      <c r="R59" s="3"/>
      <c r="S59" s="4">
        <v>114</v>
      </c>
      <c r="T59" s="4">
        <v>114</v>
      </c>
      <c r="U59" s="4">
        <v>114</v>
      </c>
      <c r="V59" s="3"/>
      <c r="W59" s="3"/>
    </row>
    <row r="60" spans="1:23" ht="45" x14ac:dyDescent="0.25">
      <c r="A60">
        <v>59</v>
      </c>
      <c r="B60" s="32" t="s">
        <v>227</v>
      </c>
      <c r="C60" s="87" t="s">
        <v>228</v>
      </c>
      <c r="D60" s="93" t="s">
        <v>229</v>
      </c>
      <c r="E60" s="3" t="s">
        <v>33</v>
      </c>
      <c r="F60" s="3">
        <v>2633001686</v>
      </c>
      <c r="G60" s="77">
        <v>21</v>
      </c>
      <c r="H60" s="76"/>
      <c r="I60" s="3"/>
      <c r="J60" s="3"/>
      <c r="K60" s="3"/>
      <c r="L60" s="3"/>
      <c r="M60" s="3"/>
      <c r="N60" s="3"/>
      <c r="O60" s="3"/>
      <c r="P60" s="3"/>
      <c r="Q60" s="3"/>
      <c r="R60" s="3"/>
      <c r="S60" s="4">
        <v>115</v>
      </c>
      <c r="T60" s="4">
        <v>115</v>
      </c>
      <c r="U60" s="4">
        <v>115</v>
      </c>
      <c r="V60" s="3"/>
      <c r="W60" s="3"/>
    </row>
    <row r="61" spans="1:23" ht="75" x14ac:dyDescent="0.25">
      <c r="A61">
        <v>60</v>
      </c>
      <c r="B61" s="87" t="s">
        <v>230</v>
      </c>
      <c r="C61" s="87" t="s">
        <v>232</v>
      </c>
      <c r="D61" s="93" t="s">
        <v>231</v>
      </c>
      <c r="E61" s="3" t="s">
        <v>33</v>
      </c>
      <c r="F61" s="3">
        <v>2624022344</v>
      </c>
      <c r="G61" s="77"/>
      <c r="H61" s="76">
        <v>2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4">
        <v>112</v>
      </c>
      <c r="T61" s="4">
        <v>112</v>
      </c>
      <c r="U61" s="4">
        <v>112</v>
      </c>
      <c r="V61" s="3"/>
      <c r="W61" s="3"/>
    </row>
    <row r="62" spans="1:23" ht="30" x14ac:dyDescent="0.25">
      <c r="A62">
        <v>61</v>
      </c>
      <c r="B62" s="32" t="s">
        <v>233</v>
      </c>
      <c r="C62" s="32" t="s">
        <v>234</v>
      </c>
      <c r="D62" s="93" t="s">
        <v>235</v>
      </c>
      <c r="E62" s="3" t="s">
        <v>33</v>
      </c>
      <c r="F62" s="3">
        <v>2633002721</v>
      </c>
      <c r="G62" s="77">
        <v>10</v>
      </c>
      <c r="H62" s="76"/>
      <c r="I62" s="3"/>
      <c r="J62" s="3"/>
      <c r="K62" s="3"/>
      <c r="L62" s="3"/>
      <c r="M62" s="3"/>
      <c r="N62" s="3"/>
      <c r="O62" s="3"/>
      <c r="P62" s="3"/>
      <c r="Q62" s="3"/>
      <c r="R62" s="3"/>
      <c r="S62" s="4">
        <v>113</v>
      </c>
      <c r="T62" s="4">
        <v>113</v>
      </c>
      <c r="U62" s="4">
        <v>113</v>
      </c>
      <c r="V62" s="3"/>
      <c r="W62" s="3"/>
    </row>
    <row r="63" spans="1:23" ht="45" x14ac:dyDescent="0.25">
      <c r="A63">
        <v>62</v>
      </c>
      <c r="B63" s="32" t="s">
        <v>236</v>
      </c>
      <c r="C63" s="32" t="s">
        <v>237</v>
      </c>
      <c r="D63" s="93" t="s">
        <v>238</v>
      </c>
      <c r="E63" s="3" t="s">
        <v>33</v>
      </c>
      <c r="F63" s="3">
        <v>2623018659</v>
      </c>
      <c r="G63" s="77"/>
      <c r="H63" s="76">
        <v>1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4">
        <v>118</v>
      </c>
      <c r="T63" s="4">
        <v>118</v>
      </c>
      <c r="U63" s="4">
        <v>118</v>
      </c>
      <c r="V63" s="3"/>
      <c r="W63" s="3"/>
    </row>
    <row r="64" spans="1:23" ht="60" x14ac:dyDescent="0.25">
      <c r="A64">
        <v>63</v>
      </c>
      <c r="B64" s="3" t="s">
        <v>239</v>
      </c>
      <c r="C64" s="22" t="s">
        <v>241</v>
      </c>
      <c r="D64" s="93" t="s">
        <v>240</v>
      </c>
      <c r="E64" s="3" t="s">
        <v>33</v>
      </c>
      <c r="F64" s="3">
        <v>2620001350</v>
      </c>
      <c r="G64" s="3">
        <v>4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4">
        <v>124</v>
      </c>
      <c r="T64" s="4">
        <v>124</v>
      </c>
      <c r="U64" s="4">
        <v>124</v>
      </c>
      <c r="V64" s="3"/>
      <c r="W64" s="3"/>
    </row>
    <row r="65" spans="1:23" ht="60" x14ac:dyDescent="0.25">
      <c r="A65">
        <v>64</v>
      </c>
      <c r="B65" s="3" t="s">
        <v>243</v>
      </c>
      <c r="C65" s="22" t="s">
        <v>246</v>
      </c>
      <c r="D65" s="93" t="s">
        <v>242</v>
      </c>
      <c r="E65" s="3" t="s">
        <v>33</v>
      </c>
      <c r="F65" s="3">
        <v>2633001140</v>
      </c>
      <c r="G65" s="3">
        <v>5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4">
        <v>125</v>
      </c>
      <c r="T65" s="4">
        <v>125</v>
      </c>
      <c r="U65" s="4">
        <v>125</v>
      </c>
      <c r="V65" s="3"/>
      <c r="W65" s="3"/>
    </row>
    <row r="66" spans="1:23" ht="75" x14ac:dyDescent="0.25">
      <c r="A66">
        <v>65</v>
      </c>
      <c r="B66" s="3" t="s">
        <v>244</v>
      </c>
      <c r="C66" s="22" t="s">
        <v>245</v>
      </c>
      <c r="D66" s="93" t="s">
        <v>247</v>
      </c>
      <c r="E66" s="3" t="s">
        <v>33</v>
      </c>
      <c r="F66" s="3">
        <v>2634051753</v>
      </c>
      <c r="G66" s="3">
        <v>6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4">
        <v>129</v>
      </c>
      <c r="T66" s="4">
        <v>129</v>
      </c>
      <c r="U66" s="4">
        <v>129</v>
      </c>
      <c r="V66" s="3"/>
      <c r="W66" s="3"/>
    </row>
    <row r="67" spans="1:23" ht="75" x14ac:dyDescent="0.25">
      <c r="A67">
        <v>66</v>
      </c>
      <c r="B67" s="3" t="s">
        <v>248</v>
      </c>
      <c r="C67" s="22" t="s">
        <v>250</v>
      </c>
      <c r="D67" s="93" t="s">
        <v>249</v>
      </c>
      <c r="E67" s="3" t="s">
        <v>33</v>
      </c>
      <c r="F67" s="3">
        <v>2607019503</v>
      </c>
      <c r="G67" s="3"/>
      <c r="H67" s="3">
        <v>8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4">
        <v>138</v>
      </c>
      <c r="T67" s="4">
        <v>138</v>
      </c>
      <c r="U67" s="4">
        <v>138</v>
      </c>
      <c r="V67" s="3"/>
      <c r="W67" s="3"/>
    </row>
    <row r="68" spans="1:23" ht="75" x14ac:dyDescent="0.25">
      <c r="A68">
        <v>67</v>
      </c>
      <c r="B68" s="3" t="s">
        <v>251</v>
      </c>
      <c r="C68" s="22" t="s">
        <v>252</v>
      </c>
      <c r="D68" s="93" t="s">
        <v>253</v>
      </c>
      <c r="E68" s="3" t="s">
        <v>33</v>
      </c>
      <c r="F68" s="3">
        <v>2617009102</v>
      </c>
      <c r="G68" s="3">
        <v>14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4">
        <v>131</v>
      </c>
      <c r="T68" s="4">
        <v>131</v>
      </c>
      <c r="U68" s="4">
        <v>131</v>
      </c>
      <c r="V68" s="3"/>
      <c r="W68" s="3"/>
    </row>
    <row r="69" spans="1:23" ht="60" x14ac:dyDescent="0.25">
      <c r="A69">
        <v>68</v>
      </c>
      <c r="B69" s="3" t="s">
        <v>254</v>
      </c>
      <c r="C69" s="22" t="s">
        <v>255</v>
      </c>
      <c r="D69" s="93" t="s">
        <v>575</v>
      </c>
      <c r="E69" s="3" t="s">
        <v>33</v>
      </c>
      <c r="F69" s="3">
        <v>2615001940</v>
      </c>
      <c r="G69" s="3">
        <v>12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4">
        <v>140</v>
      </c>
      <c r="T69" s="4">
        <v>140</v>
      </c>
      <c r="U69" s="4">
        <v>140</v>
      </c>
      <c r="V69" s="3"/>
      <c r="W69" s="3"/>
    </row>
    <row r="70" spans="1:23" ht="75" x14ac:dyDescent="0.25">
      <c r="A70">
        <v>69</v>
      </c>
      <c r="B70" s="3" t="s">
        <v>271</v>
      </c>
      <c r="C70" s="52" t="s">
        <v>270</v>
      </c>
      <c r="D70" s="93" t="s">
        <v>269</v>
      </c>
      <c r="E70" s="3" t="s">
        <v>33</v>
      </c>
      <c r="F70" s="3">
        <v>2612017565</v>
      </c>
      <c r="G70" s="3">
        <v>10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4">
        <v>111</v>
      </c>
      <c r="T70" s="4">
        <v>111</v>
      </c>
      <c r="U70" s="4">
        <v>111</v>
      </c>
      <c r="V70" s="3"/>
      <c r="W70" s="3"/>
    </row>
    <row r="71" spans="1:23" ht="60" x14ac:dyDescent="0.25">
      <c r="A71">
        <v>70</v>
      </c>
      <c r="B71" s="14" t="s">
        <v>273</v>
      </c>
      <c r="C71" s="32" t="s">
        <v>285</v>
      </c>
      <c r="D71" s="93" t="s">
        <v>274</v>
      </c>
      <c r="E71" s="3" t="s">
        <v>33</v>
      </c>
      <c r="F71" s="3">
        <v>2635060581</v>
      </c>
      <c r="G71" s="3"/>
      <c r="H71" s="10">
        <v>2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4">
        <v>149</v>
      </c>
      <c r="T71" s="4">
        <v>149</v>
      </c>
      <c r="U71" s="4">
        <v>149</v>
      </c>
      <c r="V71" s="3"/>
      <c r="W71" s="3"/>
    </row>
    <row r="72" spans="1:23" ht="60" x14ac:dyDescent="0.25">
      <c r="A72">
        <v>71</v>
      </c>
      <c r="B72" s="14" t="s">
        <v>279</v>
      </c>
      <c r="C72" s="32" t="s">
        <v>276</v>
      </c>
      <c r="D72" s="93" t="s">
        <v>275</v>
      </c>
      <c r="E72" s="3" t="s">
        <v>33</v>
      </c>
      <c r="F72" s="3">
        <v>2634063413</v>
      </c>
      <c r="G72" s="3"/>
      <c r="H72" s="10">
        <v>2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4">
        <v>148</v>
      </c>
      <c r="T72" s="4">
        <v>148</v>
      </c>
      <c r="U72" s="4">
        <v>148</v>
      </c>
      <c r="V72" s="3"/>
      <c r="W72" s="3"/>
    </row>
    <row r="73" spans="1:23" ht="45" x14ac:dyDescent="0.25">
      <c r="A73">
        <v>72</v>
      </c>
      <c r="B73" s="14" t="s">
        <v>280</v>
      </c>
      <c r="C73" s="32" t="s">
        <v>278</v>
      </c>
      <c r="D73" s="93" t="s">
        <v>277</v>
      </c>
      <c r="E73" s="3" t="s">
        <v>33</v>
      </c>
      <c r="F73" s="3">
        <v>2635800236</v>
      </c>
      <c r="G73" s="3"/>
      <c r="H73" s="10">
        <v>1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4">
        <v>156</v>
      </c>
      <c r="T73" s="4">
        <v>156</v>
      </c>
      <c r="U73" s="4">
        <v>156</v>
      </c>
      <c r="V73" s="3"/>
      <c r="W73" s="3"/>
    </row>
    <row r="74" spans="1:23" ht="60" x14ac:dyDescent="0.25">
      <c r="A74">
        <v>73</v>
      </c>
      <c r="B74" s="14" t="s">
        <v>281</v>
      </c>
      <c r="C74" s="32" t="s">
        <v>282</v>
      </c>
      <c r="D74" s="93" t="s">
        <v>283</v>
      </c>
      <c r="E74" s="3" t="s">
        <v>33</v>
      </c>
      <c r="F74" s="3">
        <v>2634093520</v>
      </c>
      <c r="G74" s="3"/>
      <c r="H74" s="10">
        <v>1</v>
      </c>
      <c r="I74" s="3"/>
      <c r="J74" s="3"/>
      <c r="K74" s="3"/>
      <c r="L74" s="3"/>
      <c r="M74" s="3"/>
      <c r="N74" s="3"/>
      <c r="O74" s="3"/>
      <c r="P74" s="3"/>
      <c r="Q74" s="3"/>
      <c r="R74" s="3"/>
      <c r="S74" s="4">
        <v>153</v>
      </c>
      <c r="T74" s="4">
        <v>153</v>
      </c>
      <c r="U74" s="4">
        <v>153</v>
      </c>
      <c r="V74" s="3"/>
      <c r="W74" s="3"/>
    </row>
    <row r="75" spans="1:23" ht="75" x14ac:dyDescent="0.25">
      <c r="A75">
        <v>74</v>
      </c>
      <c r="B75" s="3" t="s">
        <v>286</v>
      </c>
      <c r="C75" s="22" t="s">
        <v>287</v>
      </c>
      <c r="D75" s="93" t="s">
        <v>288</v>
      </c>
      <c r="E75" s="3" t="s">
        <v>33</v>
      </c>
      <c r="F75" s="3">
        <v>2610018813</v>
      </c>
      <c r="G75" s="3"/>
      <c r="H75" s="10">
        <v>1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4">
        <v>145</v>
      </c>
      <c r="T75" s="4">
        <v>145</v>
      </c>
      <c r="U75" s="4">
        <v>145</v>
      </c>
      <c r="V75" s="3"/>
      <c r="W75" s="3"/>
    </row>
    <row r="76" spans="1:23" ht="45" x14ac:dyDescent="0.25">
      <c r="A76">
        <v>75</v>
      </c>
      <c r="B76" s="32" t="s">
        <v>289</v>
      </c>
      <c r="C76" s="32" t="s">
        <v>290</v>
      </c>
      <c r="D76" s="53" t="s">
        <v>291</v>
      </c>
      <c r="E76" s="3" t="s">
        <v>33</v>
      </c>
      <c r="F76" s="3">
        <v>2634049360</v>
      </c>
      <c r="G76" s="3">
        <v>198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1" t="s">
        <v>292</v>
      </c>
      <c r="T76" s="31" t="s">
        <v>292</v>
      </c>
      <c r="U76" s="31" t="s">
        <v>292</v>
      </c>
      <c r="V76" s="3"/>
      <c r="W76" s="3"/>
    </row>
    <row r="77" spans="1:23" ht="60" x14ac:dyDescent="0.25">
      <c r="A77">
        <v>76</v>
      </c>
      <c r="B77" s="3" t="s">
        <v>293</v>
      </c>
      <c r="C77" s="22" t="s">
        <v>303</v>
      </c>
      <c r="D77" s="53" t="s">
        <v>294</v>
      </c>
      <c r="E77" s="3" t="s">
        <v>33</v>
      </c>
      <c r="F77" s="3">
        <v>2631028107</v>
      </c>
      <c r="G77" s="3"/>
      <c r="H77" s="3">
        <v>1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4">
        <v>146</v>
      </c>
      <c r="T77" s="4">
        <v>146</v>
      </c>
      <c r="U77" s="4">
        <v>146</v>
      </c>
      <c r="V77" s="3"/>
      <c r="W77" s="3"/>
    </row>
    <row r="78" spans="1:23" ht="60" x14ac:dyDescent="0.25">
      <c r="A78">
        <v>77</v>
      </c>
      <c r="B78" s="14" t="s">
        <v>295</v>
      </c>
      <c r="C78" s="32" t="s">
        <v>301</v>
      </c>
      <c r="D78" s="93" t="s">
        <v>296</v>
      </c>
      <c r="E78" s="3" t="s">
        <v>33</v>
      </c>
      <c r="F78" s="3">
        <v>2608800357</v>
      </c>
      <c r="G78" s="3"/>
      <c r="H78" s="3">
        <v>1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4">
        <v>147</v>
      </c>
      <c r="T78" s="4">
        <v>147</v>
      </c>
      <c r="U78" s="4">
        <v>147</v>
      </c>
      <c r="V78" s="3"/>
      <c r="W78" s="3"/>
    </row>
    <row r="79" spans="1:23" ht="60" x14ac:dyDescent="0.25">
      <c r="A79">
        <v>78</v>
      </c>
      <c r="B79" s="3" t="s">
        <v>298</v>
      </c>
      <c r="C79" s="22" t="s">
        <v>300</v>
      </c>
      <c r="D79" s="22" t="s">
        <v>299</v>
      </c>
      <c r="E79" s="3" t="s">
        <v>33</v>
      </c>
      <c r="F79" s="3">
        <v>2607018281</v>
      </c>
      <c r="G79" s="3"/>
      <c r="H79" s="3">
        <v>2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4">
        <v>126</v>
      </c>
      <c r="T79" s="4">
        <v>126</v>
      </c>
      <c r="U79" s="4">
        <v>126</v>
      </c>
      <c r="V79" s="3"/>
      <c r="W79" s="3"/>
    </row>
    <row r="80" spans="1:23" ht="45" x14ac:dyDescent="0.25">
      <c r="A80">
        <v>79</v>
      </c>
      <c r="B80" s="3" t="s">
        <v>304</v>
      </c>
      <c r="C80" s="22" t="s">
        <v>305</v>
      </c>
      <c r="D80" s="87" t="s">
        <v>306</v>
      </c>
      <c r="E80" s="3" t="s">
        <v>33</v>
      </c>
      <c r="F80" s="3">
        <v>2619009274</v>
      </c>
      <c r="G80" s="3">
        <v>12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4">
        <v>151</v>
      </c>
      <c r="T80" s="4">
        <v>151</v>
      </c>
      <c r="U80" s="4">
        <v>151</v>
      </c>
      <c r="V80" s="3"/>
      <c r="W80" s="3"/>
    </row>
    <row r="81" spans="1:23" ht="60" x14ac:dyDescent="0.25">
      <c r="A81">
        <v>80</v>
      </c>
      <c r="B81" s="3" t="s">
        <v>307</v>
      </c>
      <c r="C81" s="22" t="s">
        <v>308</v>
      </c>
      <c r="D81" s="87" t="s">
        <v>309</v>
      </c>
      <c r="E81" s="3" t="s">
        <v>33</v>
      </c>
      <c r="F81" s="3">
        <v>2604000303</v>
      </c>
      <c r="G81" s="3">
        <v>7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4">
        <v>152</v>
      </c>
      <c r="T81" s="4">
        <v>152</v>
      </c>
      <c r="U81" s="4">
        <v>152</v>
      </c>
      <c r="V81" s="3"/>
      <c r="W81" s="3"/>
    </row>
    <row r="82" spans="1:23" ht="60" x14ac:dyDescent="0.25">
      <c r="A82">
        <v>81</v>
      </c>
      <c r="B82" s="14" t="s">
        <v>310</v>
      </c>
      <c r="C82" s="32" t="s">
        <v>311</v>
      </c>
      <c r="D82" s="87" t="s">
        <v>312</v>
      </c>
      <c r="E82" s="3" t="s">
        <v>33</v>
      </c>
      <c r="F82" s="3">
        <v>2636087924</v>
      </c>
      <c r="G82" s="3"/>
      <c r="H82" s="3">
        <v>1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4">
        <v>154</v>
      </c>
      <c r="T82" s="4">
        <v>154</v>
      </c>
      <c r="U82" s="4">
        <v>154</v>
      </c>
      <c r="V82" s="3"/>
      <c r="W82" s="3"/>
    </row>
    <row r="83" spans="1:23" ht="45" x14ac:dyDescent="0.25">
      <c r="A83">
        <v>82</v>
      </c>
      <c r="B83" s="14" t="s">
        <v>314</v>
      </c>
      <c r="C83" s="32" t="s">
        <v>315</v>
      </c>
      <c r="D83" s="87" t="s">
        <v>316</v>
      </c>
      <c r="E83" s="3" t="s">
        <v>33</v>
      </c>
      <c r="F83" s="3">
        <v>2634811299</v>
      </c>
      <c r="G83" s="3"/>
      <c r="H83" s="3">
        <v>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4">
        <v>155</v>
      </c>
      <c r="T83" s="4">
        <v>155</v>
      </c>
      <c r="U83" s="4">
        <v>155</v>
      </c>
      <c r="V83" s="3"/>
      <c r="W83" s="3"/>
    </row>
    <row r="84" spans="1:23" ht="60" x14ac:dyDescent="0.25">
      <c r="A84">
        <v>83</v>
      </c>
      <c r="B84" s="3" t="s">
        <v>317</v>
      </c>
      <c r="C84" s="22" t="s">
        <v>318</v>
      </c>
      <c r="D84" s="87" t="s">
        <v>319</v>
      </c>
      <c r="E84" s="3" t="s">
        <v>33</v>
      </c>
      <c r="F84" s="3">
        <v>2635805330</v>
      </c>
      <c r="G84" s="3"/>
      <c r="H84" s="3">
        <v>2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4">
        <v>157</v>
      </c>
      <c r="T84" s="4">
        <v>157</v>
      </c>
      <c r="U84" s="4">
        <v>157</v>
      </c>
      <c r="V84" s="3"/>
      <c r="W84" s="3"/>
    </row>
    <row r="85" spans="1:23" ht="60" x14ac:dyDescent="0.25">
      <c r="A85">
        <v>84</v>
      </c>
      <c r="B85" s="3" t="s">
        <v>354</v>
      </c>
      <c r="C85" s="22" t="s">
        <v>320</v>
      </c>
      <c r="D85" s="87" t="s">
        <v>321</v>
      </c>
      <c r="E85" s="3" t="s">
        <v>33</v>
      </c>
      <c r="F85" s="3">
        <v>2634096433</v>
      </c>
      <c r="G85" s="3"/>
      <c r="H85" s="3">
        <v>1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4">
        <v>158</v>
      </c>
      <c r="T85" s="4">
        <v>158</v>
      </c>
      <c r="U85" s="4">
        <v>158</v>
      </c>
      <c r="V85" s="3"/>
      <c r="W85" s="3"/>
    </row>
    <row r="86" spans="1:23" ht="60" x14ac:dyDescent="0.25">
      <c r="A86">
        <v>85</v>
      </c>
      <c r="B86" s="3" t="s">
        <v>337</v>
      </c>
      <c r="C86" s="22" t="s">
        <v>338</v>
      </c>
      <c r="D86" s="87" t="s">
        <v>339</v>
      </c>
      <c r="E86" s="3" t="s">
        <v>33</v>
      </c>
      <c r="F86" s="3">
        <v>7709239289</v>
      </c>
      <c r="G86" s="3"/>
      <c r="H86" s="3">
        <v>2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4">
        <v>160</v>
      </c>
      <c r="T86" s="4">
        <v>160</v>
      </c>
      <c r="U86" s="4">
        <v>160</v>
      </c>
      <c r="V86" s="3"/>
      <c r="W86" s="3"/>
    </row>
    <row r="87" spans="1:23" ht="75" x14ac:dyDescent="0.25">
      <c r="A87">
        <v>86</v>
      </c>
      <c r="B87" s="22" t="s">
        <v>340</v>
      </c>
      <c r="C87" s="22" t="s">
        <v>341</v>
      </c>
      <c r="D87" s="87" t="s">
        <v>342</v>
      </c>
      <c r="E87" s="3" t="s">
        <v>33</v>
      </c>
      <c r="F87" s="3">
        <v>2614018081</v>
      </c>
      <c r="G87" s="3"/>
      <c r="H87" s="3">
        <v>1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4">
        <v>161</v>
      </c>
      <c r="T87" s="4">
        <v>161</v>
      </c>
      <c r="U87" s="4">
        <v>161</v>
      </c>
      <c r="V87" s="3"/>
      <c r="W87" s="3"/>
    </row>
    <row r="88" spans="1:23" ht="61.5" customHeight="1" x14ac:dyDescent="0.25">
      <c r="A88">
        <v>87</v>
      </c>
      <c r="B88" s="32" t="s">
        <v>343</v>
      </c>
      <c r="C88" s="32" t="s">
        <v>345</v>
      </c>
      <c r="D88" s="87" t="s">
        <v>346</v>
      </c>
      <c r="E88" s="3" t="s">
        <v>33</v>
      </c>
      <c r="F88" s="3">
        <v>2623015062</v>
      </c>
      <c r="G88" s="3">
        <v>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92">
        <v>163</v>
      </c>
      <c r="T88" s="92">
        <v>163</v>
      </c>
      <c r="U88" s="92">
        <v>163</v>
      </c>
      <c r="V88" s="3"/>
      <c r="W88" s="3"/>
    </row>
    <row r="89" spans="1:23" ht="68.25" customHeight="1" x14ac:dyDescent="0.25">
      <c r="A89">
        <v>88</v>
      </c>
      <c r="B89" s="28" t="s">
        <v>347</v>
      </c>
      <c r="C89" s="28" t="s">
        <v>348</v>
      </c>
      <c r="D89" s="87" t="s">
        <v>349</v>
      </c>
      <c r="E89" s="3" t="s">
        <v>33</v>
      </c>
      <c r="F89" s="3">
        <v>2631030603</v>
      </c>
      <c r="G89" s="3"/>
      <c r="H89" s="3">
        <v>3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92">
        <v>165</v>
      </c>
      <c r="T89" s="92">
        <v>165</v>
      </c>
      <c r="U89" s="92">
        <v>165</v>
      </c>
      <c r="V89" s="3"/>
      <c r="W89" s="3"/>
    </row>
    <row r="90" spans="1:23" ht="51" customHeight="1" x14ac:dyDescent="0.25">
      <c r="A90">
        <v>89</v>
      </c>
      <c r="B90" s="87" t="s">
        <v>350</v>
      </c>
      <c r="C90" s="87" t="s">
        <v>351</v>
      </c>
      <c r="D90" s="87" t="s">
        <v>352</v>
      </c>
      <c r="E90" s="3" t="s">
        <v>33</v>
      </c>
      <c r="F90" s="3">
        <v>2617012810</v>
      </c>
      <c r="G90" s="3"/>
      <c r="H90" s="3">
        <v>2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92">
        <v>164</v>
      </c>
      <c r="T90" s="92">
        <v>164</v>
      </c>
      <c r="U90" s="92">
        <v>164</v>
      </c>
      <c r="V90" s="3"/>
      <c r="W90" s="3"/>
    </row>
    <row r="91" spans="1:23" ht="51" customHeight="1" x14ac:dyDescent="0.25">
      <c r="A91">
        <v>90</v>
      </c>
      <c r="B91" s="32" t="s">
        <v>355</v>
      </c>
      <c r="C91" s="32" t="s">
        <v>356</v>
      </c>
      <c r="D91" s="87" t="s">
        <v>357</v>
      </c>
      <c r="E91" s="3" t="s">
        <v>33</v>
      </c>
      <c r="F91" s="3">
        <v>2635089936</v>
      </c>
      <c r="G91" s="77"/>
      <c r="H91" s="76">
        <v>4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92">
        <v>166</v>
      </c>
      <c r="T91" s="92">
        <v>166</v>
      </c>
      <c r="U91" s="92">
        <v>166</v>
      </c>
      <c r="V91" s="3"/>
      <c r="W91" s="3"/>
    </row>
    <row r="92" spans="1:23" ht="51" customHeight="1" x14ac:dyDescent="0.25">
      <c r="A92">
        <v>91</v>
      </c>
      <c r="B92" s="100" t="s">
        <v>358</v>
      </c>
      <c r="C92" s="100" t="s">
        <v>359</v>
      </c>
      <c r="D92" s="87" t="s">
        <v>360</v>
      </c>
      <c r="E92" s="3" t="s">
        <v>33</v>
      </c>
      <c r="F92" s="3">
        <v>2607011977</v>
      </c>
      <c r="G92" s="77"/>
      <c r="H92" s="76">
        <v>2</v>
      </c>
      <c r="I92" s="3"/>
      <c r="J92" s="3"/>
      <c r="K92" s="3"/>
      <c r="L92" s="3"/>
      <c r="M92" s="3"/>
      <c r="N92" s="3"/>
      <c r="O92" s="3"/>
      <c r="P92" s="3"/>
      <c r="Q92" s="3"/>
      <c r="R92" s="3"/>
      <c r="S92" s="92">
        <v>168</v>
      </c>
      <c r="T92" s="92">
        <v>168</v>
      </c>
      <c r="U92" s="92">
        <v>168</v>
      </c>
      <c r="V92" s="3"/>
      <c r="W92" s="3"/>
    </row>
    <row r="93" spans="1:23" ht="45" x14ac:dyDescent="0.25">
      <c r="A93">
        <v>92</v>
      </c>
      <c r="B93" s="100" t="s">
        <v>361</v>
      </c>
      <c r="C93" s="100" t="s">
        <v>362</v>
      </c>
      <c r="D93" s="87" t="s">
        <v>363</v>
      </c>
      <c r="E93" s="3" t="s">
        <v>33</v>
      </c>
      <c r="F93" s="3">
        <v>2607016132</v>
      </c>
      <c r="G93" s="77"/>
      <c r="H93" s="76">
        <v>2</v>
      </c>
      <c r="I93" s="3"/>
      <c r="J93" s="3"/>
      <c r="K93" s="3"/>
      <c r="L93" s="3"/>
      <c r="M93" s="3"/>
      <c r="N93" s="3"/>
      <c r="O93" s="3"/>
      <c r="P93" s="3"/>
      <c r="Q93" s="3"/>
      <c r="R93" s="3"/>
      <c r="S93" s="4">
        <v>169</v>
      </c>
      <c r="T93" s="4">
        <v>169</v>
      </c>
      <c r="U93" s="4">
        <v>169</v>
      </c>
      <c r="V93" s="3"/>
      <c r="W93" s="3"/>
    </row>
    <row r="94" spans="1:23" ht="45" x14ac:dyDescent="0.25">
      <c r="A94">
        <v>93</v>
      </c>
      <c r="B94" s="100" t="s">
        <v>450</v>
      </c>
      <c r="C94" s="100" t="s">
        <v>366</v>
      </c>
      <c r="D94" s="87" t="s">
        <v>367</v>
      </c>
      <c r="E94" s="3" t="s">
        <v>33</v>
      </c>
      <c r="F94" s="3">
        <v>2608003721</v>
      </c>
      <c r="G94" s="77"/>
      <c r="H94" s="76">
        <v>16</v>
      </c>
      <c r="I94" s="3"/>
      <c r="J94" s="3"/>
      <c r="K94" s="3"/>
      <c r="L94" s="3"/>
      <c r="M94" s="3"/>
      <c r="N94" s="3"/>
      <c r="O94" s="3"/>
      <c r="P94" s="3"/>
      <c r="Q94" s="3"/>
      <c r="R94" s="3"/>
      <c r="S94" s="4">
        <v>167</v>
      </c>
      <c r="T94" s="4">
        <v>167</v>
      </c>
      <c r="U94" s="4">
        <v>167</v>
      </c>
      <c r="V94" s="3"/>
      <c r="W94" s="3"/>
    </row>
    <row r="95" spans="1:23" ht="60" x14ac:dyDescent="0.25">
      <c r="A95">
        <v>94</v>
      </c>
      <c r="B95" s="100" t="s">
        <v>368</v>
      </c>
      <c r="C95" s="100" t="s">
        <v>369</v>
      </c>
      <c r="D95" s="87" t="s">
        <v>370</v>
      </c>
      <c r="E95" s="3" t="s">
        <v>33</v>
      </c>
      <c r="F95" s="3">
        <v>2611005503</v>
      </c>
      <c r="G95" s="77"/>
      <c r="H95" s="76">
        <v>8</v>
      </c>
      <c r="I95" s="3"/>
      <c r="J95" s="3"/>
      <c r="K95" s="3"/>
      <c r="L95" s="3"/>
      <c r="M95" s="3"/>
      <c r="N95" s="3"/>
      <c r="O95" s="3"/>
      <c r="P95" s="3"/>
      <c r="Q95" s="3"/>
      <c r="R95" s="3"/>
      <c r="S95" s="4">
        <v>170</v>
      </c>
      <c r="T95" s="4">
        <v>170</v>
      </c>
      <c r="U95" s="4">
        <v>170</v>
      </c>
      <c r="V95" s="3"/>
      <c r="W95" s="3"/>
    </row>
    <row r="96" spans="1:23" ht="60" x14ac:dyDescent="0.25">
      <c r="A96">
        <v>95</v>
      </c>
      <c r="B96" s="32" t="s">
        <v>372</v>
      </c>
      <c r="C96" s="32" t="s">
        <v>373</v>
      </c>
      <c r="D96" s="31" t="s">
        <v>374</v>
      </c>
      <c r="E96" s="3" t="s">
        <v>33</v>
      </c>
      <c r="F96" s="3">
        <v>2636810075</v>
      </c>
      <c r="G96" s="77"/>
      <c r="H96" s="76">
        <v>1</v>
      </c>
      <c r="I96" s="3"/>
      <c r="J96" s="3"/>
      <c r="K96" s="3"/>
      <c r="L96" s="3"/>
      <c r="M96" s="3"/>
      <c r="N96" s="3"/>
      <c r="O96" s="3"/>
      <c r="P96" s="3"/>
      <c r="Q96" s="3"/>
      <c r="R96" s="3"/>
      <c r="S96" s="8">
        <v>173</v>
      </c>
      <c r="T96" s="8">
        <v>173</v>
      </c>
      <c r="U96" s="8">
        <v>173</v>
      </c>
      <c r="V96" s="3"/>
      <c r="W96" s="3"/>
    </row>
    <row r="97" spans="1:23" ht="75" x14ac:dyDescent="0.25">
      <c r="A97">
        <v>96</v>
      </c>
      <c r="B97" s="100" t="s">
        <v>375</v>
      </c>
      <c r="C97" s="100" t="s">
        <v>376</v>
      </c>
      <c r="D97" s="31" t="s">
        <v>377</v>
      </c>
      <c r="E97" s="3" t="s">
        <v>33</v>
      </c>
      <c r="F97" s="3">
        <v>2617002354</v>
      </c>
      <c r="G97" s="77"/>
      <c r="H97" s="76">
        <v>1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4">
        <v>187</v>
      </c>
      <c r="T97" s="4" t="s">
        <v>416</v>
      </c>
      <c r="U97" s="4">
        <v>181</v>
      </c>
      <c r="V97" s="3">
        <v>1200</v>
      </c>
      <c r="W97" s="3"/>
    </row>
    <row r="98" spans="1:23" ht="75" x14ac:dyDescent="0.25">
      <c r="A98">
        <v>97</v>
      </c>
      <c r="B98" s="100" t="s">
        <v>383</v>
      </c>
      <c r="C98" s="100" t="s">
        <v>384</v>
      </c>
      <c r="D98" s="87" t="s">
        <v>385</v>
      </c>
      <c r="E98" s="3" t="s">
        <v>33</v>
      </c>
      <c r="F98" s="3">
        <v>2602004461</v>
      </c>
      <c r="G98" s="77">
        <v>8</v>
      </c>
      <c r="H98" s="76"/>
      <c r="I98" s="3"/>
      <c r="J98" s="3"/>
      <c r="K98" s="3"/>
      <c r="L98" s="3"/>
      <c r="M98" s="3"/>
      <c r="N98" s="3"/>
      <c r="O98" s="3"/>
      <c r="P98" s="3"/>
      <c r="Q98" s="3"/>
      <c r="R98" s="3"/>
      <c r="S98" s="4">
        <v>174</v>
      </c>
      <c r="T98" s="4">
        <v>174</v>
      </c>
      <c r="U98" s="4">
        <v>174</v>
      </c>
      <c r="V98" s="3"/>
      <c r="W98" s="3"/>
    </row>
    <row r="99" spans="1:23" ht="60" x14ac:dyDescent="0.25">
      <c r="A99">
        <v>98</v>
      </c>
      <c r="B99" s="32" t="s">
        <v>387</v>
      </c>
      <c r="C99" s="32" t="s">
        <v>388</v>
      </c>
      <c r="D99" s="87" t="s">
        <v>389</v>
      </c>
      <c r="E99" s="3" t="s">
        <v>33</v>
      </c>
      <c r="F99" s="3">
        <v>2635077200</v>
      </c>
      <c r="G99" s="77">
        <v>10</v>
      </c>
      <c r="H99" s="76"/>
      <c r="I99" s="3"/>
      <c r="J99" s="3"/>
      <c r="K99" s="3"/>
      <c r="L99" s="3"/>
      <c r="M99" s="3"/>
      <c r="N99" s="3"/>
      <c r="O99" s="3"/>
      <c r="P99" s="3"/>
      <c r="Q99" s="3"/>
      <c r="R99" s="3"/>
      <c r="S99" s="4">
        <v>175</v>
      </c>
      <c r="T99" s="4">
        <v>175</v>
      </c>
      <c r="U99" s="4">
        <v>175</v>
      </c>
      <c r="V99" s="3"/>
      <c r="W99" s="3"/>
    </row>
    <row r="100" spans="1:23" ht="60" x14ac:dyDescent="0.25">
      <c r="A100">
        <v>99</v>
      </c>
      <c r="B100" s="32" t="s">
        <v>390</v>
      </c>
      <c r="C100" s="32" t="s">
        <v>391</v>
      </c>
      <c r="D100" s="87" t="s">
        <v>392</v>
      </c>
      <c r="E100" s="3" t="s">
        <v>33</v>
      </c>
      <c r="F100" s="3">
        <v>2634813553</v>
      </c>
      <c r="G100" s="77"/>
      <c r="H100" s="76">
        <v>2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4">
        <v>176</v>
      </c>
      <c r="T100" s="4">
        <v>176</v>
      </c>
      <c r="U100" s="4">
        <v>176</v>
      </c>
      <c r="V100" s="3"/>
      <c r="W100" s="3"/>
    </row>
    <row r="101" spans="1:23" ht="60" x14ac:dyDescent="0.25">
      <c r="A101">
        <v>100</v>
      </c>
      <c r="B101" s="100" t="s">
        <v>393</v>
      </c>
      <c r="C101" s="100" t="s">
        <v>394</v>
      </c>
      <c r="D101" s="87" t="s">
        <v>395</v>
      </c>
      <c r="E101" s="3" t="s">
        <v>33</v>
      </c>
      <c r="F101" s="3">
        <v>2606007110</v>
      </c>
      <c r="G101" s="77">
        <v>9</v>
      </c>
      <c r="H101" s="76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4">
        <v>177</v>
      </c>
      <c r="T101" s="4">
        <v>177</v>
      </c>
      <c r="U101" s="4">
        <v>177</v>
      </c>
      <c r="V101" s="3"/>
      <c r="W101" s="3"/>
    </row>
    <row r="102" spans="1:23" ht="60" x14ac:dyDescent="0.25">
      <c r="A102">
        <v>101</v>
      </c>
      <c r="B102" s="32" t="s">
        <v>401</v>
      </c>
      <c r="C102" s="32" t="s">
        <v>402</v>
      </c>
      <c r="D102" s="31" t="s">
        <v>403</v>
      </c>
      <c r="E102" s="3" t="s">
        <v>33</v>
      </c>
      <c r="F102" s="3">
        <v>2634067584</v>
      </c>
      <c r="G102" s="77">
        <v>3</v>
      </c>
      <c r="H102" s="76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4">
        <v>180</v>
      </c>
      <c r="T102" s="4">
        <v>180</v>
      </c>
      <c r="U102" s="4">
        <v>180</v>
      </c>
      <c r="V102" s="3"/>
      <c r="W102" s="3"/>
    </row>
    <row r="103" spans="1:23" ht="45" x14ac:dyDescent="0.25">
      <c r="A103">
        <v>102</v>
      </c>
      <c r="B103" s="32" t="s">
        <v>408</v>
      </c>
      <c r="C103" s="32" t="s">
        <v>412</v>
      </c>
      <c r="D103" s="87" t="s">
        <v>411</v>
      </c>
      <c r="E103" s="3" t="s">
        <v>33</v>
      </c>
      <c r="F103" s="3">
        <v>2635083892</v>
      </c>
      <c r="G103" s="77"/>
      <c r="H103" s="76">
        <v>1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127">
        <v>183</v>
      </c>
      <c r="T103" s="127" t="s">
        <v>416</v>
      </c>
      <c r="U103" s="127">
        <v>141</v>
      </c>
      <c r="V103" s="3"/>
      <c r="W103" s="3"/>
    </row>
    <row r="104" spans="1:23" ht="45" x14ac:dyDescent="0.25">
      <c r="A104">
        <v>103</v>
      </c>
      <c r="B104" s="32" t="s">
        <v>410</v>
      </c>
      <c r="C104" s="32" t="s">
        <v>412</v>
      </c>
      <c r="D104" s="87" t="s">
        <v>409</v>
      </c>
      <c r="E104" s="3" t="s">
        <v>33</v>
      </c>
      <c r="F104" s="3">
        <v>2633004976</v>
      </c>
      <c r="G104" s="77"/>
      <c r="H104" s="76">
        <v>3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127">
        <v>184</v>
      </c>
      <c r="T104" s="127" t="s">
        <v>416</v>
      </c>
      <c r="U104" s="127">
        <v>142</v>
      </c>
      <c r="V104" s="3"/>
      <c r="W104" s="3"/>
    </row>
    <row r="105" spans="1:23" ht="60" x14ac:dyDescent="0.25">
      <c r="A105">
        <v>104</v>
      </c>
      <c r="B105" s="100" t="s">
        <v>419</v>
      </c>
      <c r="C105" s="100" t="s">
        <v>422</v>
      </c>
      <c r="D105" s="87" t="s">
        <v>420</v>
      </c>
      <c r="E105" s="3" t="s">
        <v>33</v>
      </c>
      <c r="F105" s="3">
        <v>2613006870</v>
      </c>
      <c r="G105" s="77">
        <v>14</v>
      </c>
      <c r="H105" s="76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179">
        <v>194</v>
      </c>
      <c r="T105" s="153" t="s">
        <v>417</v>
      </c>
      <c r="U105" s="153">
        <v>208</v>
      </c>
      <c r="V105" s="173">
        <v>16800</v>
      </c>
      <c r="W105" s="3"/>
    </row>
    <row r="106" spans="1:23" ht="90" x14ac:dyDescent="0.25">
      <c r="A106">
        <v>105</v>
      </c>
      <c r="B106" s="32" t="s">
        <v>432</v>
      </c>
      <c r="C106" s="32" t="s">
        <v>433</v>
      </c>
      <c r="D106" s="31" t="s">
        <v>434</v>
      </c>
      <c r="E106" s="3" t="s">
        <v>33</v>
      </c>
      <c r="F106" s="3">
        <v>2636044215</v>
      </c>
      <c r="G106" s="77">
        <v>5</v>
      </c>
      <c r="H106" s="76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179">
        <v>186</v>
      </c>
      <c r="T106" s="176" t="s">
        <v>435</v>
      </c>
      <c r="U106" s="153">
        <v>188</v>
      </c>
      <c r="V106" s="172">
        <v>6000</v>
      </c>
      <c r="W106" s="3"/>
    </row>
    <row r="107" spans="1:23" ht="75" x14ac:dyDescent="0.25">
      <c r="A107">
        <v>106</v>
      </c>
      <c r="B107" s="100" t="s">
        <v>436</v>
      </c>
      <c r="C107" s="100" t="s">
        <v>437</v>
      </c>
      <c r="D107" s="87" t="s">
        <v>438</v>
      </c>
      <c r="E107" s="3" t="s">
        <v>33</v>
      </c>
      <c r="F107" s="3">
        <v>2605010625</v>
      </c>
      <c r="G107" s="77">
        <v>9</v>
      </c>
      <c r="H107" s="76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4" t="s">
        <v>440</v>
      </c>
      <c r="T107" s="4" t="s">
        <v>441</v>
      </c>
      <c r="U107" s="4">
        <v>195</v>
      </c>
      <c r="V107" s="172">
        <v>21600</v>
      </c>
      <c r="W107" s="3"/>
    </row>
    <row r="108" spans="1:23" ht="60" x14ac:dyDescent="0.25">
      <c r="A108">
        <v>107</v>
      </c>
      <c r="B108" s="100" t="s">
        <v>443</v>
      </c>
      <c r="C108" s="100" t="s">
        <v>444</v>
      </c>
      <c r="D108" s="87" t="s">
        <v>445</v>
      </c>
      <c r="E108" s="3" t="s">
        <v>33</v>
      </c>
      <c r="F108" s="3">
        <v>2622001927</v>
      </c>
      <c r="G108" s="77">
        <v>5</v>
      </c>
      <c r="H108" s="76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4">
        <v>195</v>
      </c>
      <c r="T108" s="4" t="s">
        <v>417</v>
      </c>
      <c r="U108" s="4">
        <v>209</v>
      </c>
      <c r="V108" s="172">
        <v>6000</v>
      </c>
      <c r="W108" s="3"/>
    </row>
    <row r="109" spans="1:23" ht="60" x14ac:dyDescent="0.25">
      <c r="A109">
        <v>108</v>
      </c>
      <c r="B109" s="32" t="s">
        <v>446</v>
      </c>
      <c r="C109" s="32" t="s">
        <v>447</v>
      </c>
      <c r="D109" s="87" t="s">
        <v>448</v>
      </c>
      <c r="E109" s="3" t="s">
        <v>33</v>
      </c>
      <c r="F109" s="3">
        <v>2636032629</v>
      </c>
      <c r="G109" s="77">
        <v>2</v>
      </c>
      <c r="H109" s="76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4">
        <v>198</v>
      </c>
      <c r="T109" s="4" t="s">
        <v>417</v>
      </c>
      <c r="U109" s="4">
        <v>218</v>
      </c>
      <c r="V109" s="172">
        <v>2400</v>
      </c>
      <c r="W109" s="3"/>
    </row>
    <row r="110" spans="1:23" x14ac:dyDescent="0.25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x14ac:dyDescent="0.25">
      <c r="B111" s="3"/>
      <c r="C111" s="3"/>
      <c r="D111" s="3"/>
      <c r="E111" s="3"/>
      <c r="F111" s="3"/>
      <c r="G111" s="3">
        <f>SUM(G1:G110)</f>
        <v>758</v>
      </c>
      <c r="H111" s="76">
        <f>SUM(H1:H110)</f>
        <v>308</v>
      </c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x14ac:dyDescent="0.25">
      <c r="H112">
        <v>7</v>
      </c>
    </row>
    <row r="114" spans="1:8" x14ac:dyDescent="0.25">
      <c r="A114" s="9"/>
      <c r="B114" t="s">
        <v>55</v>
      </c>
    </row>
    <row r="115" spans="1:8" x14ac:dyDescent="0.25">
      <c r="A115" s="7"/>
      <c r="B115" t="s">
        <v>56</v>
      </c>
    </row>
    <row r="116" spans="1:8" x14ac:dyDescent="0.25">
      <c r="A116" s="11"/>
      <c r="B116" t="s">
        <v>57</v>
      </c>
      <c r="H116" s="61" t="e">
        <f>H2+H3+H4+H5+#REF!+H6+H7+#REF!+H8+#REF!+H9+#REF!+H10+H11+#REF!+H12+H13+H14+H15+#REF!+H16+H17+#REF!+H18+#REF!+H19+H20+#REF!+H21+H22+#REF!+#REF!+H23+#REF!+H24+#REF!+#REF!+H25+H26</f>
        <v>#REF!</v>
      </c>
    </row>
  </sheetData>
  <pageMargins left="0.7" right="0.7" top="0.75" bottom="0.75" header="0.3" footer="0.3"/>
  <pageSetup paperSize="9" orientation="landscape" horizontalDpi="4294967295" verticalDpi="429496729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173"/>
  <sheetViews>
    <sheetView zoomScale="85" zoomScaleNormal="85" workbookViewId="0">
      <pane xSplit="9" ySplit="2" topLeftCell="M29" activePane="bottomRight" state="frozen"/>
      <selection pane="topRight" activeCell="J1" sqref="J1"/>
      <selection pane="bottomLeft" activeCell="A3" sqref="A3"/>
      <selection pane="bottomRight" activeCell="B105" sqref="B1:B1048576"/>
    </sheetView>
  </sheetViews>
  <sheetFormatPr defaultRowHeight="15" x14ac:dyDescent="0.25"/>
  <cols>
    <col min="1" max="1" width="6" customWidth="1"/>
    <col min="2" max="2" width="35.5703125" style="166" customWidth="1"/>
    <col min="3" max="3" width="39.140625" customWidth="1"/>
    <col min="4" max="4" width="25.7109375" style="166" customWidth="1"/>
    <col min="5" max="5" width="14.140625" customWidth="1"/>
    <col min="6" max="6" width="15.5703125" customWidth="1"/>
    <col min="7" max="7" width="8.28515625" customWidth="1"/>
    <col min="8" max="8" width="8.42578125" customWidth="1"/>
    <col min="9" max="9" width="12.5703125" customWidth="1"/>
    <col min="11" max="11" width="8" customWidth="1"/>
    <col min="12" max="12" width="8.140625" customWidth="1"/>
    <col min="13" max="13" width="11" customWidth="1"/>
    <col min="16" max="17" width="10.28515625" bestFit="1" customWidth="1"/>
    <col min="21" max="21" width="10.28515625" bestFit="1" customWidth="1"/>
    <col min="23" max="23" width="10.28515625" bestFit="1" customWidth="1"/>
    <col min="25" max="25" width="11.7109375" bestFit="1" customWidth="1"/>
  </cols>
  <sheetData>
    <row r="1" spans="1:27" ht="29.25" customHeight="1" x14ac:dyDescent="0.25">
      <c r="A1" s="350" t="s">
        <v>124</v>
      </c>
      <c r="B1" s="352" t="s">
        <v>125</v>
      </c>
      <c r="C1" s="354" t="s">
        <v>126</v>
      </c>
      <c r="D1" s="356" t="s">
        <v>127</v>
      </c>
      <c r="E1" s="356" t="s">
        <v>129</v>
      </c>
      <c r="F1" s="356" t="s">
        <v>128</v>
      </c>
      <c r="G1" s="356" t="s">
        <v>263</v>
      </c>
      <c r="H1" s="356" t="s">
        <v>261</v>
      </c>
      <c r="I1" s="358" t="s">
        <v>262</v>
      </c>
      <c r="J1" s="366" t="s">
        <v>426</v>
      </c>
      <c r="K1" s="366"/>
      <c r="L1" s="366"/>
      <c r="M1" s="366"/>
      <c r="N1" s="367" t="s">
        <v>427</v>
      </c>
      <c r="O1" s="367"/>
      <c r="P1" s="367"/>
      <c r="Q1" s="367"/>
      <c r="R1" s="368" t="s">
        <v>428</v>
      </c>
      <c r="S1" s="368"/>
      <c r="T1" s="368"/>
      <c r="U1" s="368"/>
      <c r="V1" s="348" t="s">
        <v>429</v>
      </c>
      <c r="W1" s="348"/>
      <c r="X1" s="348"/>
      <c r="Y1" s="348"/>
      <c r="Z1" s="122">
        <v>43831</v>
      </c>
      <c r="AA1" s="122">
        <v>43862</v>
      </c>
    </row>
    <row r="2" spans="1:27" x14ac:dyDescent="0.25">
      <c r="A2" s="351"/>
      <c r="B2" s="353"/>
      <c r="C2" s="355"/>
      <c r="D2" s="357"/>
      <c r="E2" s="357"/>
      <c r="F2" s="357"/>
      <c r="G2" s="357"/>
      <c r="H2" s="357"/>
      <c r="I2" s="359"/>
      <c r="J2" s="123" t="s">
        <v>414</v>
      </c>
      <c r="K2" s="124" t="s">
        <v>413</v>
      </c>
      <c r="L2" s="124" t="s">
        <v>415</v>
      </c>
      <c r="M2" s="124" t="s">
        <v>407</v>
      </c>
      <c r="N2" s="123" t="s">
        <v>414</v>
      </c>
      <c r="O2" s="124" t="s">
        <v>413</v>
      </c>
      <c r="P2" s="124" t="s">
        <v>415</v>
      </c>
      <c r="Q2" s="124" t="s">
        <v>407</v>
      </c>
      <c r="R2" s="123" t="s">
        <v>414</v>
      </c>
      <c r="S2" s="124" t="s">
        <v>413</v>
      </c>
      <c r="T2" s="124" t="s">
        <v>415</v>
      </c>
      <c r="U2" s="124" t="s">
        <v>407</v>
      </c>
      <c r="V2" s="123" t="s">
        <v>414</v>
      </c>
      <c r="W2" s="124" t="s">
        <v>413</v>
      </c>
      <c r="X2" s="124" t="s">
        <v>415</v>
      </c>
      <c r="Y2" s="124" t="s">
        <v>407</v>
      </c>
      <c r="Z2" s="72"/>
      <c r="AA2" s="72"/>
    </row>
    <row r="3" spans="1:27" s="1" customFormat="1" ht="30" customHeight="1" x14ac:dyDescent="0.25">
      <c r="A3" s="182">
        <v>1</v>
      </c>
      <c r="B3" s="155" t="s">
        <v>12</v>
      </c>
      <c r="C3" s="140" t="s">
        <v>87</v>
      </c>
      <c r="D3" s="53" t="s">
        <v>490</v>
      </c>
      <c r="E3" s="5" t="s">
        <v>33</v>
      </c>
      <c r="F3" s="5">
        <v>2635221863</v>
      </c>
      <c r="G3" s="5"/>
      <c r="H3" s="79">
        <v>4</v>
      </c>
      <c r="I3" s="183"/>
      <c r="J3" s="192">
        <v>280</v>
      </c>
      <c r="K3" s="153" t="s">
        <v>417</v>
      </c>
      <c r="L3" s="6">
        <v>457</v>
      </c>
      <c r="M3" s="193">
        <v>5000</v>
      </c>
      <c r="N3" s="153">
        <v>404</v>
      </c>
      <c r="O3" s="153" t="s">
        <v>476</v>
      </c>
      <c r="P3" s="153">
        <v>888</v>
      </c>
      <c r="Q3" s="172">
        <v>4000</v>
      </c>
      <c r="R3" s="75"/>
      <c r="S3" s="75"/>
      <c r="T3" s="75"/>
      <c r="U3" s="75"/>
      <c r="V3" s="75"/>
      <c r="W3" s="75"/>
      <c r="X3" s="75"/>
      <c r="Y3" s="75"/>
      <c r="Z3" s="5"/>
      <c r="AA3" s="5"/>
    </row>
    <row r="4" spans="1:27" s="1" customFormat="1" ht="60" x14ac:dyDescent="0.25">
      <c r="A4" s="182">
        <v>2</v>
      </c>
      <c r="B4" s="155" t="s">
        <v>7</v>
      </c>
      <c r="C4" s="140" t="s">
        <v>86</v>
      </c>
      <c r="D4" s="225" t="s">
        <v>481</v>
      </c>
      <c r="E4" s="5" t="s">
        <v>33</v>
      </c>
      <c r="F4" s="5"/>
      <c r="G4" s="5"/>
      <c r="H4" s="79">
        <v>3</v>
      </c>
      <c r="I4" s="183"/>
      <c r="J4" s="192">
        <v>257</v>
      </c>
      <c r="K4" s="153" t="s">
        <v>416</v>
      </c>
      <c r="L4" s="6">
        <v>369</v>
      </c>
      <c r="M4" s="193">
        <v>3600</v>
      </c>
      <c r="N4" s="26">
        <v>318</v>
      </c>
      <c r="O4" s="153" t="s">
        <v>417</v>
      </c>
      <c r="P4" s="26">
        <v>653</v>
      </c>
      <c r="Q4" s="175">
        <v>3600</v>
      </c>
      <c r="R4" s="6">
        <v>491</v>
      </c>
      <c r="S4" s="153" t="s">
        <v>417</v>
      </c>
      <c r="T4" s="6"/>
      <c r="U4" s="6"/>
      <c r="V4" s="6">
        <v>546</v>
      </c>
      <c r="W4" s="153" t="s">
        <v>417</v>
      </c>
      <c r="X4" s="6"/>
      <c r="Y4" s="6"/>
      <c r="Z4" s="5"/>
      <c r="AA4" s="5"/>
    </row>
    <row r="5" spans="1:27" s="1" customFormat="1" ht="45" x14ac:dyDescent="0.25">
      <c r="A5" s="182">
        <v>3</v>
      </c>
      <c r="B5" s="155" t="s">
        <v>2</v>
      </c>
      <c r="C5" s="140" t="s">
        <v>480</v>
      </c>
      <c r="D5" s="220" t="s">
        <v>14</v>
      </c>
      <c r="E5" s="5" t="s">
        <v>33</v>
      </c>
      <c r="F5" s="5"/>
      <c r="G5" s="5"/>
      <c r="H5" s="78">
        <v>1</v>
      </c>
      <c r="I5" s="183"/>
      <c r="J5" s="192">
        <v>261</v>
      </c>
      <c r="K5" s="153" t="s">
        <v>417</v>
      </c>
      <c r="L5" s="6">
        <v>376</v>
      </c>
      <c r="M5" s="193">
        <v>1200</v>
      </c>
      <c r="N5" s="153">
        <v>418</v>
      </c>
      <c r="O5" s="153" t="s">
        <v>417</v>
      </c>
      <c r="P5" s="153">
        <v>992</v>
      </c>
      <c r="Q5" s="172">
        <v>1200</v>
      </c>
      <c r="R5" s="153">
        <v>496</v>
      </c>
      <c r="S5" s="153" t="s">
        <v>417</v>
      </c>
      <c r="T5" s="153">
        <v>1207</v>
      </c>
      <c r="U5" s="172">
        <v>1200</v>
      </c>
      <c r="V5" s="179">
        <v>656</v>
      </c>
      <c r="W5" s="153" t="s">
        <v>417</v>
      </c>
      <c r="X5" s="153">
        <v>112</v>
      </c>
      <c r="Y5" s="172">
        <v>1200</v>
      </c>
      <c r="Z5" s="5"/>
      <c r="AA5" s="5"/>
    </row>
    <row r="6" spans="1:27" s="1" customFormat="1" ht="75" x14ac:dyDescent="0.25">
      <c r="A6" s="182">
        <v>4</v>
      </c>
      <c r="B6" s="155" t="s">
        <v>423</v>
      </c>
      <c r="C6" s="140" t="s">
        <v>92</v>
      </c>
      <c r="D6" s="93" t="s">
        <v>424</v>
      </c>
      <c r="E6" s="5" t="s">
        <v>33</v>
      </c>
      <c r="F6" s="5">
        <v>2631017874</v>
      </c>
      <c r="G6" s="5"/>
      <c r="H6" s="79">
        <v>5</v>
      </c>
      <c r="I6" s="183"/>
      <c r="J6" s="179">
        <v>270</v>
      </c>
      <c r="K6" s="153" t="s">
        <v>416</v>
      </c>
      <c r="L6" s="153">
        <v>408</v>
      </c>
      <c r="M6" s="172">
        <v>8400</v>
      </c>
      <c r="N6" s="153">
        <v>317</v>
      </c>
      <c r="O6" s="153" t="s">
        <v>417</v>
      </c>
      <c r="P6" s="153">
        <v>652</v>
      </c>
      <c r="Q6" s="172">
        <v>8400</v>
      </c>
      <c r="R6" s="179">
        <v>498</v>
      </c>
      <c r="S6" s="153" t="s">
        <v>417</v>
      </c>
      <c r="T6" s="153">
        <v>1213</v>
      </c>
      <c r="U6" s="172">
        <v>8400</v>
      </c>
      <c r="V6" s="179">
        <v>610</v>
      </c>
      <c r="W6" s="143" t="s">
        <v>476</v>
      </c>
      <c r="X6" s="153">
        <v>1579</v>
      </c>
      <c r="Y6" s="172">
        <v>8400</v>
      </c>
      <c r="Z6" s="75"/>
      <c r="AA6" s="5"/>
    </row>
    <row r="7" spans="1:27" s="1" customFormat="1" ht="45" x14ac:dyDescent="0.25">
      <c r="A7" s="182">
        <v>5</v>
      </c>
      <c r="B7" s="155" t="s">
        <v>147</v>
      </c>
      <c r="C7" s="140" t="s">
        <v>149</v>
      </c>
      <c r="D7" s="93" t="s">
        <v>431</v>
      </c>
      <c r="E7" s="5"/>
      <c r="F7" s="5">
        <v>2634049360</v>
      </c>
      <c r="G7" s="5"/>
      <c r="H7" s="75">
        <v>13</v>
      </c>
      <c r="I7" s="183"/>
      <c r="J7" s="179">
        <v>205</v>
      </c>
      <c r="K7" s="153" t="s">
        <v>416</v>
      </c>
      <c r="L7" s="153">
        <v>274</v>
      </c>
      <c r="M7" s="172">
        <v>10400</v>
      </c>
      <c r="N7" s="153">
        <v>332</v>
      </c>
      <c r="O7" s="153" t="s">
        <v>417</v>
      </c>
      <c r="P7" s="153">
        <v>708</v>
      </c>
      <c r="Q7" s="172">
        <v>10400</v>
      </c>
      <c r="R7" s="179">
        <v>444</v>
      </c>
      <c r="S7" s="153" t="s">
        <v>417</v>
      </c>
      <c r="T7" s="153">
        <v>1092</v>
      </c>
      <c r="U7" s="172">
        <v>10400</v>
      </c>
      <c r="V7" s="179">
        <v>570</v>
      </c>
      <c r="W7" s="153" t="s">
        <v>417</v>
      </c>
      <c r="X7" s="153">
        <v>1482</v>
      </c>
      <c r="Y7" s="172">
        <v>10400</v>
      </c>
      <c r="Z7" s="5"/>
      <c r="AA7" s="5"/>
    </row>
    <row r="8" spans="1:27" s="1" customFormat="1" ht="45" x14ac:dyDescent="0.25">
      <c r="A8" s="182">
        <v>6</v>
      </c>
      <c r="B8" s="155" t="s">
        <v>19</v>
      </c>
      <c r="C8" s="140" t="s">
        <v>93</v>
      </c>
      <c r="D8" s="221" t="s">
        <v>21</v>
      </c>
      <c r="E8" s="5" t="s">
        <v>33</v>
      </c>
      <c r="F8" s="5">
        <v>2631027142</v>
      </c>
      <c r="G8" s="5"/>
      <c r="H8" s="78">
        <v>1</v>
      </c>
      <c r="I8" s="183"/>
      <c r="J8" s="192">
        <v>262</v>
      </c>
      <c r="K8" s="6" t="s">
        <v>417</v>
      </c>
      <c r="L8" s="6">
        <v>377</v>
      </c>
      <c r="M8" s="193">
        <v>1200</v>
      </c>
      <c r="N8" s="153">
        <v>396</v>
      </c>
      <c r="O8" s="153" t="s">
        <v>417</v>
      </c>
      <c r="P8" s="153">
        <v>840</v>
      </c>
      <c r="Q8" s="172">
        <v>1200</v>
      </c>
      <c r="R8" s="153">
        <v>490</v>
      </c>
      <c r="S8" s="153" t="s">
        <v>417</v>
      </c>
      <c r="T8" s="153">
        <v>1195</v>
      </c>
      <c r="U8" s="172">
        <v>1200</v>
      </c>
      <c r="V8" s="179">
        <v>603</v>
      </c>
      <c r="W8" s="153" t="s">
        <v>417</v>
      </c>
      <c r="X8" s="153">
        <v>1567</v>
      </c>
      <c r="Y8" s="172">
        <v>1200</v>
      </c>
      <c r="Z8" s="5"/>
      <c r="AA8" s="5"/>
    </row>
    <row r="9" spans="1:27" s="1" customFormat="1" ht="60" x14ac:dyDescent="0.25">
      <c r="A9" s="182">
        <v>7</v>
      </c>
      <c r="B9" s="156" t="s">
        <v>293</v>
      </c>
      <c r="C9" s="140" t="s">
        <v>303</v>
      </c>
      <c r="D9" s="221" t="s">
        <v>294</v>
      </c>
      <c r="E9" s="5" t="s">
        <v>33</v>
      </c>
      <c r="F9" s="5">
        <v>2631028107</v>
      </c>
      <c r="G9" s="5"/>
      <c r="H9" s="5">
        <v>1</v>
      </c>
      <c r="I9" s="183"/>
      <c r="J9" s="179">
        <v>259</v>
      </c>
      <c r="K9" s="153" t="s">
        <v>417</v>
      </c>
      <c r="L9" s="153">
        <v>371</v>
      </c>
      <c r="M9" s="172">
        <v>1200</v>
      </c>
      <c r="N9" s="153">
        <v>358</v>
      </c>
      <c r="O9" s="153" t="s">
        <v>417</v>
      </c>
      <c r="P9" s="153">
        <v>740</v>
      </c>
      <c r="Q9" s="172">
        <v>1200</v>
      </c>
      <c r="R9" s="153">
        <v>435</v>
      </c>
      <c r="S9" s="153" t="s">
        <v>417</v>
      </c>
      <c r="T9" s="153">
        <v>1075</v>
      </c>
      <c r="U9" s="172">
        <v>1200</v>
      </c>
      <c r="V9" s="179">
        <v>648</v>
      </c>
      <c r="W9" s="153" t="s">
        <v>417</v>
      </c>
      <c r="X9" s="153">
        <v>72</v>
      </c>
      <c r="Y9" s="172">
        <v>1200</v>
      </c>
      <c r="Z9" s="5"/>
      <c r="AA9" s="5"/>
    </row>
    <row r="10" spans="1:27" s="1" customFormat="1" ht="87.75" customHeight="1" x14ac:dyDescent="0.25">
      <c r="A10" s="182">
        <v>8</v>
      </c>
      <c r="B10" s="155" t="s">
        <v>347</v>
      </c>
      <c r="C10" s="140" t="s">
        <v>348</v>
      </c>
      <c r="D10" s="221" t="s">
        <v>349</v>
      </c>
      <c r="E10" s="5" t="s">
        <v>33</v>
      </c>
      <c r="F10" s="5">
        <v>2631030603</v>
      </c>
      <c r="G10" s="5"/>
      <c r="H10" s="5">
        <v>3</v>
      </c>
      <c r="I10" s="183"/>
      <c r="J10" s="179">
        <v>294</v>
      </c>
      <c r="K10" s="153" t="s">
        <v>417</v>
      </c>
      <c r="L10" s="153">
        <v>511</v>
      </c>
      <c r="M10" s="172">
        <v>3600</v>
      </c>
      <c r="N10" s="153">
        <v>409</v>
      </c>
      <c r="O10" s="153" t="s">
        <v>417</v>
      </c>
      <c r="P10" s="153">
        <v>916</v>
      </c>
      <c r="Q10" s="172">
        <v>3600</v>
      </c>
      <c r="R10" s="179">
        <v>525</v>
      </c>
      <c r="S10" s="153" t="s">
        <v>417</v>
      </c>
      <c r="T10" s="153">
        <v>1310</v>
      </c>
      <c r="U10" s="172">
        <v>3600</v>
      </c>
      <c r="V10" s="179">
        <v>649</v>
      </c>
      <c r="W10" s="153" t="s">
        <v>417</v>
      </c>
      <c r="X10" s="153">
        <v>73</v>
      </c>
      <c r="Y10" s="172">
        <v>3600</v>
      </c>
      <c r="Z10" s="5"/>
      <c r="AA10" s="5"/>
    </row>
    <row r="11" spans="1:27" s="1" customFormat="1" ht="45" x14ac:dyDescent="0.25">
      <c r="A11" s="182">
        <v>9</v>
      </c>
      <c r="B11" s="155" t="s">
        <v>28</v>
      </c>
      <c r="C11" s="140" t="s">
        <v>94</v>
      </c>
      <c r="D11" s="221" t="s">
        <v>20</v>
      </c>
      <c r="E11" s="5" t="s">
        <v>33</v>
      </c>
      <c r="F11" s="5">
        <v>2631027880</v>
      </c>
      <c r="G11" s="5"/>
      <c r="H11" s="78">
        <v>2</v>
      </c>
      <c r="I11" s="183"/>
      <c r="J11" s="192">
        <v>298</v>
      </c>
      <c r="K11" s="153" t="s">
        <v>417</v>
      </c>
      <c r="L11" s="6">
        <v>516</v>
      </c>
      <c r="M11" s="193">
        <v>2400</v>
      </c>
      <c r="N11" s="153">
        <v>417</v>
      </c>
      <c r="O11" s="153" t="s">
        <v>417</v>
      </c>
      <c r="P11" s="153">
        <v>988</v>
      </c>
      <c r="Q11" s="172">
        <v>2400</v>
      </c>
      <c r="R11" s="179">
        <v>524</v>
      </c>
      <c r="S11" s="153" t="s">
        <v>417</v>
      </c>
      <c r="T11" s="153">
        <v>1308</v>
      </c>
      <c r="U11" s="172">
        <v>2400</v>
      </c>
      <c r="V11" s="179">
        <v>666</v>
      </c>
      <c r="W11" s="153" t="s">
        <v>476</v>
      </c>
      <c r="X11" s="153">
        <v>189</v>
      </c>
      <c r="Y11" s="172">
        <v>2400</v>
      </c>
      <c r="Z11" s="5"/>
      <c r="AA11" s="5"/>
    </row>
    <row r="12" spans="1:27" s="1" customFormat="1" x14ac:dyDescent="0.25">
      <c r="A12" s="182">
        <v>10</v>
      </c>
      <c r="B12" s="155" t="s">
        <v>130</v>
      </c>
      <c r="C12" s="141"/>
      <c r="D12" s="167"/>
      <c r="E12" s="5"/>
      <c r="F12" s="5"/>
      <c r="G12" s="5"/>
      <c r="H12" s="5">
        <v>7</v>
      </c>
      <c r="I12" s="183"/>
      <c r="J12" s="179">
        <v>269</v>
      </c>
      <c r="K12" s="153"/>
      <c r="L12" s="153"/>
      <c r="M12" s="172"/>
      <c r="N12" s="153">
        <v>397</v>
      </c>
      <c r="O12" s="153"/>
      <c r="P12" s="153"/>
      <c r="Q12" s="153"/>
      <c r="R12" s="144"/>
      <c r="S12" s="144"/>
      <c r="T12" s="144"/>
      <c r="U12" s="144"/>
      <c r="V12" s="144"/>
      <c r="W12" s="5"/>
      <c r="X12" s="5"/>
      <c r="Y12" s="5"/>
      <c r="Z12" s="5"/>
      <c r="AA12" s="5"/>
    </row>
    <row r="13" spans="1:27" s="1" customFormat="1" ht="45" x14ac:dyDescent="0.25">
      <c r="A13" s="182">
        <v>11</v>
      </c>
      <c r="B13" s="155" t="s">
        <v>24</v>
      </c>
      <c r="C13" s="140" t="s">
        <v>95</v>
      </c>
      <c r="D13" s="221" t="s">
        <v>581</v>
      </c>
      <c r="E13" s="5" t="s">
        <v>33</v>
      </c>
      <c r="F13" s="5">
        <v>2631009785</v>
      </c>
      <c r="G13" s="5"/>
      <c r="H13" s="78">
        <v>2</v>
      </c>
      <c r="I13" s="183"/>
      <c r="J13" s="192">
        <v>236</v>
      </c>
      <c r="K13" s="153" t="s">
        <v>417</v>
      </c>
      <c r="L13" s="6">
        <v>340</v>
      </c>
      <c r="M13" s="193">
        <v>2400</v>
      </c>
      <c r="N13" s="6">
        <v>321</v>
      </c>
      <c r="O13" s="153" t="s">
        <v>417</v>
      </c>
      <c r="P13" s="6">
        <v>661</v>
      </c>
      <c r="Q13" s="172">
        <v>2400</v>
      </c>
      <c r="R13" s="179">
        <v>445</v>
      </c>
      <c r="S13" s="153" t="s">
        <v>417</v>
      </c>
      <c r="T13" s="153">
        <v>1093</v>
      </c>
      <c r="U13" s="172">
        <v>2400</v>
      </c>
      <c r="V13" s="179">
        <v>583</v>
      </c>
      <c r="W13" s="153" t="s">
        <v>417</v>
      </c>
      <c r="X13" s="206">
        <v>1511</v>
      </c>
      <c r="Y13" s="172">
        <v>2400</v>
      </c>
      <c r="Z13" s="5"/>
      <c r="AA13" s="5"/>
    </row>
    <row r="14" spans="1:27" s="1" customFormat="1" ht="90" x14ac:dyDescent="0.25">
      <c r="A14" s="182">
        <v>104</v>
      </c>
      <c r="B14" s="199" t="s">
        <v>155</v>
      </c>
      <c r="C14" s="200" t="s">
        <v>156</v>
      </c>
      <c r="D14" s="94" t="s">
        <v>623</v>
      </c>
      <c r="E14" s="5" t="s">
        <v>33</v>
      </c>
      <c r="F14" s="3">
        <v>2631016895</v>
      </c>
      <c r="G14" s="5"/>
      <c r="H14" s="78">
        <v>5</v>
      </c>
      <c r="I14" s="183"/>
      <c r="J14" s="192">
        <v>214</v>
      </c>
      <c r="K14" s="6" t="s">
        <v>416</v>
      </c>
      <c r="L14" s="6">
        <v>284</v>
      </c>
      <c r="M14" s="193">
        <v>3600</v>
      </c>
      <c r="N14" s="153">
        <v>311</v>
      </c>
      <c r="O14" s="153" t="s">
        <v>417</v>
      </c>
      <c r="P14" s="153">
        <v>619</v>
      </c>
      <c r="Q14" s="172">
        <v>3600</v>
      </c>
      <c r="R14" s="153">
        <v>442</v>
      </c>
      <c r="S14" s="153" t="s">
        <v>416</v>
      </c>
      <c r="T14" s="206" t="s">
        <v>593</v>
      </c>
      <c r="U14" s="172">
        <v>6000</v>
      </c>
      <c r="V14" s="179">
        <v>553</v>
      </c>
      <c r="W14" s="153" t="s">
        <v>417</v>
      </c>
      <c r="X14" s="206" t="s">
        <v>624</v>
      </c>
      <c r="Y14" s="172">
        <v>6000</v>
      </c>
      <c r="Z14" s="5"/>
      <c r="AA14" s="5"/>
    </row>
    <row r="15" spans="1:27" s="1" customFormat="1" ht="61.5" customHeight="1" x14ac:dyDescent="0.25">
      <c r="A15" s="182">
        <v>128</v>
      </c>
      <c r="B15" s="199" t="s">
        <v>579</v>
      </c>
      <c r="C15" s="240" t="s">
        <v>580</v>
      </c>
      <c r="D15" s="93" t="s">
        <v>582</v>
      </c>
      <c r="E15" s="5" t="s">
        <v>33</v>
      </c>
      <c r="F15" s="3">
        <v>2610017369</v>
      </c>
      <c r="G15" s="5"/>
      <c r="H15" s="78"/>
      <c r="I15" s="183">
        <v>1</v>
      </c>
      <c r="J15" s="192"/>
      <c r="K15" s="6"/>
      <c r="L15" s="6"/>
      <c r="M15" s="193"/>
      <c r="N15" s="153"/>
      <c r="O15" s="153"/>
      <c r="P15" s="153"/>
      <c r="Q15" s="172"/>
      <c r="R15" s="179">
        <v>523</v>
      </c>
      <c r="S15" s="153" t="s">
        <v>417</v>
      </c>
      <c r="T15" s="153">
        <v>1307</v>
      </c>
      <c r="U15" s="172">
        <v>3600</v>
      </c>
      <c r="V15" s="179">
        <v>654</v>
      </c>
      <c r="W15" s="153" t="s">
        <v>417</v>
      </c>
      <c r="X15" s="153">
        <v>97</v>
      </c>
      <c r="Y15" s="172">
        <v>1200</v>
      </c>
      <c r="Z15" s="5"/>
      <c r="AA15" s="5"/>
    </row>
    <row r="16" spans="1:27" s="1" customFormat="1" ht="61.5" customHeight="1" x14ac:dyDescent="0.25">
      <c r="A16" s="182"/>
      <c r="B16" s="199" t="s">
        <v>633</v>
      </c>
      <c r="C16" s="240" t="s">
        <v>634</v>
      </c>
      <c r="D16" s="221" t="s">
        <v>635</v>
      </c>
      <c r="E16" s="5" t="s">
        <v>33</v>
      </c>
      <c r="F16" s="3">
        <v>2631034855</v>
      </c>
      <c r="G16" s="5"/>
      <c r="H16" s="78">
        <v>1</v>
      </c>
      <c r="I16" s="183"/>
      <c r="J16" s="222"/>
      <c r="K16" s="75"/>
      <c r="L16" s="75"/>
      <c r="M16" s="223"/>
      <c r="N16" s="142"/>
      <c r="O16" s="142"/>
      <c r="P16" s="142"/>
      <c r="Q16" s="173"/>
      <c r="R16" s="177"/>
      <c r="S16" s="142"/>
      <c r="T16" s="142"/>
      <c r="U16" s="173"/>
      <c r="V16" s="179">
        <v>652</v>
      </c>
      <c r="W16" s="153" t="s">
        <v>417</v>
      </c>
      <c r="X16" s="153">
        <v>76</v>
      </c>
      <c r="Y16" s="172">
        <v>1200</v>
      </c>
      <c r="Z16" s="5"/>
      <c r="AA16" s="5"/>
    </row>
    <row r="17" spans="1:27" s="1" customFormat="1" ht="105" x14ac:dyDescent="0.25">
      <c r="A17" s="182">
        <v>12</v>
      </c>
      <c r="B17" s="111" t="s">
        <v>180</v>
      </c>
      <c r="C17" s="147" t="s">
        <v>181</v>
      </c>
      <c r="D17" s="226" t="s">
        <v>626</v>
      </c>
      <c r="E17" s="5" t="s">
        <v>461</v>
      </c>
      <c r="F17" s="5">
        <v>2610005839</v>
      </c>
      <c r="G17" s="79"/>
      <c r="H17" s="212">
        <v>5</v>
      </c>
      <c r="I17" s="183"/>
      <c r="J17" s="179">
        <v>224</v>
      </c>
      <c r="K17" s="153" t="s">
        <v>417</v>
      </c>
      <c r="L17" s="153">
        <v>306</v>
      </c>
      <c r="M17" s="172">
        <v>6000</v>
      </c>
      <c r="N17" s="153">
        <v>336</v>
      </c>
      <c r="O17" s="153" t="s">
        <v>417</v>
      </c>
      <c r="P17" s="153">
        <v>713</v>
      </c>
      <c r="Q17" s="153">
        <v>6000</v>
      </c>
      <c r="R17" s="179">
        <v>473</v>
      </c>
      <c r="S17" s="153" t="s">
        <v>417</v>
      </c>
      <c r="T17" s="153">
        <v>1169</v>
      </c>
      <c r="U17" s="172">
        <v>6000</v>
      </c>
      <c r="V17" s="179">
        <v>549</v>
      </c>
      <c r="W17" s="153" t="s">
        <v>417</v>
      </c>
      <c r="X17" s="153">
        <v>1431</v>
      </c>
      <c r="Y17" s="172">
        <v>6000</v>
      </c>
      <c r="Z17" s="5"/>
      <c r="AA17" s="5"/>
    </row>
    <row r="18" spans="1:27" s="1" customFormat="1" ht="75" x14ac:dyDescent="0.25">
      <c r="A18" s="182">
        <v>13</v>
      </c>
      <c r="B18" s="157" t="s">
        <v>522</v>
      </c>
      <c r="C18" s="147" t="s">
        <v>287</v>
      </c>
      <c r="D18" s="221" t="s">
        <v>523</v>
      </c>
      <c r="E18" s="5" t="s">
        <v>33</v>
      </c>
      <c r="F18" s="78">
        <v>261001587570</v>
      </c>
      <c r="G18" s="5"/>
      <c r="H18" s="75">
        <v>1</v>
      </c>
      <c r="I18" s="183"/>
      <c r="J18" s="179">
        <v>268</v>
      </c>
      <c r="K18" s="153" t="s">
        <v>417</v>
      </c>
      <c r="L18" s="153">
        <v>407</v>
      </c>
      <c r="M18" s="172">
        <v>1200</v>
      </c>
      <c r="N18" s="153">
        <v>310</v>
      </c>
      <c r="O18" s="153" t="s">
        <v>469</v>
      </c>
      <c r="P18" s="153">
        <v>618</v>
      </c>
      <c r="Q18" s="172">
        <v>1200</v>
      </c>
      <c r="R18" s="179">
        <v>457</v>
      </c>
      <c r="S18" s="153" t="s">
        <v>417</v>
      </c>
      <c r="T18" s="153">
        <v>1112</v>
      </c>
      <c r="U18" s="172">
        <v>1200</v>
      </c>
      <c r="V18" s="179">
        <v>622</v>
      </c>
      <c r="W18" s="153" t="s">
        <v>417</v>
      </c>
      <c r="X18" s="153">
        <v>14</v>
      </c>
      <c r="Y18" s="172">
        <v>1200</v>
      </c>
      <c r="Z18" s="5"/>
      <c r="AA18" s="5"/>
    </row>
    <row r="19" spans="1:27" s="1" customFormat="1" ht="45" x14ac:dyDescent="0.25">
      <c r="A19" s="182">
        <v>14</v>
      </c>
      <c r="B19" s="158" t="s">
        <v>289</v>
      </c>
      <c r="C19" s="17" t="s">
        <v>290</v>
      </c>
      <c r="D19" s="93" t="s">
        <v>406</v>
      </c>
      <c r="E19" s="5" t="s">
        <v>33</v>
      </c>
      <c r="F19" s="5">
        <v>2634049360</v>
      </c>
      <c r="G19" s="79"/>
      <c r="H19" s="78"/>
      <c r="I19" s="184">
        <v>215</v>
      </c>
      <c r="J19" s="179" t="s">
        <v>472</v>
      </c>
      <c r="K19" s="153" t="s">
        <v>416</v>
      </c>
      <c r="L19" s="153">
        <v>349</v>
      </c>
      <c r="M19" s="172">
        <v>170400</v>
      </c>
      <c r="N19" s="206" t="s">
        <v>544</v>
      </c>
      <c r="O19" s="153" t="s">
        <v>476</v>
      </c>
      <c r="P19" s="153">
        <v>764</v>
      </c>
      <c r="Q19" s="172">
        <v>168800</v>
      </c>
      <c r="R19" s="239" t="s">
        <v>597</v>
      </c>
      <c r="S19" s="153" t="s">
        <v>417</v>
      </c>
      <c r="T19" s="153">
        <v>1171</v>
      </c>
      <c r="U19" s="172">
        <v>175200</v>
      </c>
      <c r="V19" s="179">
        <v>582</v>
      </c>
      <c r="W19" s="153" t="s">
        <v>476</v>
      </c>
      <c r="X19" s="153">
        <v>1509</v>
      </c>
      <c r="Y19" s="172">
        <v>174400</v>
      </c>
      <c r="Z19" s="5"/>
      <c r="AA19" s="5"/>
    </row>
    <row r="20" spans="1:27" s="1" customFormat="1" ht="60" x14ac:dyDescent="0.25">
      <c r="A20" s="182">
        <v>15</v>
      </c>
      <c r="B20" s="158" t="s">
        <v>387</v>
      </c>
      <c r="C20" s="17" t="s">
        <v>388</v>
      </c>
      <c r="D20" s="93" t="s">
        <v>553</v>
      </c>
      <c r="E20" s="5" t="s">
        <v>33</v>
      </c>
      <c r="F20" s="5">
        <v>2635077200</v>
      </c>
      <c r="G20" s="151"/>
      <c r="H20" s="78"/>
      <c r="I20" s="184">
        <v>12</v>
      </c>
      <c r="J20" s="179">
        <v>216</v>
      </c>
      <c r="K20" s="153" t="s">
        <v>416</v>
      </c>
      <c r="L20" s="153">
        <v>286</v>
      </c>
      <c r="M20" s="172">
        <v>14400</v>
      </c>
      <c r="N20" s="153">
        <v>349</v>
      </c>
      <c r="O20" s="153" t="s">
        <v>417</v>
      </c>
      <c r="P20" s="153">
        <v>732</v>
      </c>
      <c r="Q20" s="172">
        <v>14400</v>
      </c>
      <c r="R20" s="179">
        <v>461</v>
      </c>
      <c r="S20" s="153" t="s">
        <v>417</v>
      </c>
      <c r="T20" s="153">
        <v>1151</v>
      </c>
      <c r="U20" s="172">
        <v>14400</v>
      </c>
      <c r="V20" s="179">
        <v>551</v>
      </c>
      <c r="W20" s="153" t="s">
        <v>417</v>
      </c>
      <c r="X20" s="153">
        <v>1436</v>
      </c>
      <c r="Y20" s="172">
        <v>14400</v>
      </c>
      <c r="Z20" s="5"/>
      <c r="AA20" s="5"/>
    </row>
    <row r="21" spans="1:27" s="1" customFormat="1" ht="60" x14ac:dyDescent="0.25">
      <c r="A21" s="182">
        <v>16</v>
      </c>
      <c r="B21" s="158" t="s">
        <v>165</v>
      </c>
      <c r="C21" s="17" t="s">
        <v>167</v>
      </c>
      <c r="D21" s="93" t="s">
        <v>400</v>
      </c>
      <c r="E21" s="5" t="s">
        <v>33</v>
      </c>
      <c r="F21" s="5">
        <v>2636041790</v>
      </c>
      <c r="G21" s="79"/>
      <c r="H21" s="78"/>
      <c r="I21" s="184">
        <v>2</v>
      </c>
      <c r="J21" s="179">
        <v>202</v>
      </c>
      <c r="K21" s="153" t="s">
        <v>417</v>
      </c>
      <c r="L21" s="153">
        <v>234</v>
      </c>
      <c r="M21" s="172">
        <v>2400</v>
      </c>
      <c r="N21" s="153">
        <v>307</v>
      </c>
      <c r="O21" s="153" t="s">
        <v>417</v>
      </c>
      <c r="P21" s="153">
        <v>612</v>
      </c>
      <c r="Q21" s="172">
        <v>2400</v>
      </c>
      <c r="R21" s="153">
        <v>422</v>
      </c>
      <c r="S21" s="153" t="s">
        <v>417</v>
      </c>
      <c r="T21" s="153">
        <v>1014</v>
      </c>
      <c r="U21" s="172">
        <v>2400</v>
      </c>
      <c r="V21" s="179">
        <v>543</v>
      </c>
      <c r="W21" s="153" t="s">
        <v>417</v>
      </c>
      <c r="X21" s="153">
        <v>1412</v>
      </c>
      <c r="Y21" s="172">
        <v>2400</v>
      </c>
      <c r="Z21" s="5"/>
      <c r="AA21" s="5"/>
    </row>
    <row r="22" spans="1:27" s="1" customFormat="1" ht="75" x14ac:dyDescent="0.25">
      <c r="A22" s="182">
        <v>17</v>
      </c>
      <c r="B22" s="158" t="s">
        <v>182</v>
      </c>
      <c r="C22" s="17" t="s">
        <v>187</v>
      </c>
      <c r="D22" s="53" t="s">
        <v>183</v>
      </c>
      <c r="E22" s="5" t="s">
        <v>33</v>
      </c>
      <c r="F22" s="5">
        <v>2635070950</v>
      </c>
      <c r="G22" s="79"/>
      <c r="H22" s="79">
        <v>13</v>
      </c>
      <c r="I22" s="183"/>
      <c r="J22" s="179">
        <v>209</v>
      </c>
      <c r="K22" s="153" t="s">
        <v>416</v>
      </c>
      <c r="L22" s="153">
        <v>262</v>
      </c>
      <c r="M22" s="172">
        <v>15600</v>
      </c>
      <c r="N22" s="153">
        <v>323</v>
      </c>
      <c r="O22" s="153" t="s">
        <v>417</v>
      </c>
      <c r="P22" s="153">
        <v>666</v>
      </c>
      <c r="Q22" s="172">
        <v>15600</v>
      </c>
      <c r="R22" s="179">
        <v>488</v>
      </c>
      <c r="S22" s="153" t="s">
        <v>417</v>
      </c>
      <c r="T22" s="153">
        <v>1188</v>
      </c>
      <c r="U22" s="172">
        <v>15600</v>
      </c>
      <c r="V22" s="179">
        <v>573</v>
      </c>
      <c r="W22" s="153" t="s">
        <v>417</v>
      </c>
      <c r="X22" s="153">
        <v>1485</v>
      </c>
      <c r="Y22" s="172">
        <v>15600</v>
      </c>
      <c r="Z22" s="5"/>
      <c r="AA22" s="5"/>
    </row>
    <row r="23" spans="1:27" s="1" customFormat="1" ht="45" x14ac:dyDescent="0.25">
      <c r="A23" s="182">
        <v>18</v>
      </c>
      <c r="B23" s="158" t="s">
        <v>209</v>
      </c>
      <c r="C23" s="17" t="s">
        <v>210</v>
      </c>
      <c r="D23" s="93" t="s">
        <v>371</v>
      </c>
      <c r="E23" s="5" t="s">
        <v>33</v>
      </c>
      <c r="F23" s="168">
        <v>2633005289</v>
      </c>
      <c r="G23" s="79"/>
      <c r="H23" s="170">
        <v>14</v>
      </c>
      <c r="I23" s="183"/>
      <c r="J23" s="179">
        <v>206</v>
      </c>
      <c r="K23" s="153" t="s">
        <v>417</v>
      </c>
      <c r="L23" s="153">
        <v>251</v>
      </c>
      <c r="M23" s="172">
        <v>20400</v>
      </c>
      <c r="N23" s="153">
        <v>333</v>
      </c>
      <c r="O23" s="153" t="s">
        <v>476</v>
      </c>
      <c r="P23" s="153">
        <v>709</v>
      </c>
      <c r="Q23" s="172">
        <v>19040</v>
      </c>
      <c r="R23" s="179">
        <v>464</v>
      </c>
      <c r="S23" s="153" t="s">
        <v>476</v>
      </c>
      <c r="T23" s="153">
        <v>1154</v>
      </c>
      <c r="U23" s="172">
        <v>17680</v>
      </c>
      <c r="V23" s="179">
        <v>588</v>
      </c>
      <c r="W23" s="153" t="s">
        <v>417</v>
      </c>
      <c r="X23" s="153">
        <v>1522</v>
      </c>
      <c r="Y23" s="172">
        <v>17680</v>
      </c>
      <c r="Z23" s="5"/>
      <c r="AA23" s="5"/>
    </row>
    <row r="24" spans="1:27" s="1" customFormat="1" ht="60" x14ac:dyDescent="0.25">
      <c r="A24" s="182">
        <v>19</v>
      </c>
      <c r="B24" s="158" t="s">
        <v>168</v>
      </c>
      <c r="C24" s="17" t="s">
        <v>169</v>
      </c>
      <c r="D24" s="93" t="s">
        <v>267</v>
      </c>
      <c r="E24" s="5" t="s">
        <v>33</v>
      </c>
      <c r="F24" s="5">
        <v>2633005306</v>
      </c>
      <c r="G24" s="79"/>
      <c r="H24" s="79">
        <v>2</v>
      </c>
      <c r="I24" s="183"/>
      <c r="J24" s="179">
        <v>207</v>
      </c>
      <c r="K24" s="153" t="s">
        <v>460</v>
      </c>
      <c r="L24" s="153">
        <v>261</v>
      </c>
      <c r="M24" s="172">
        <v>2400</v>
      </c>
      <c r="N24" s="153">
        <v>322</v>
      </c>
      <c r="O24" s="153" t="s">
        <v>417</v>
      </c>
      <c r="P24" s="153">
        <v>665</v>
      </c>
      <c r="Q24" s="172">
        <v>2400</v>
      </c>
      <c r="R24" s="179">
        <v>499</v>
      </c>
      <c r="S24" s="153" t="s">
        <v>417</v>
      </c>
      <c r="T24" s="153">
        <v>1214</v>
      </c>
      <c r="U24" s="172">
        <v>2400</v>
      </c>
      <c r="V24" s="179">
        <v>544</v>
      </c>
      <c r="W24" s="153" t="s">
        <v>417</v>
      </c>
      <c r="X24" s="153">
        <v>1416</v>
      </c>
      <c r="Y24" s="172">
        <v>2400</v>
      </c>
      <c r="Z24" s="5"/>
      <c r="AA24" s="5"/>
    </row>
    <row r="25" spans="1:27" s="1" customFormat="1" ht="45" x14ac:dyDescent="0.25">
      <c r="A25" s="182">
        <v>20</v>
      </c>
      <c r="B25" s="158" t="s">
        <v>355</v>
      </c>
      <c r="C25" s="17" t="s">
        <v>356</v>
      </c>
      <c r="D25" s="93" t="s">
        <v>357</v>
      </c>
      <c r="E25" s="5" t="s">
        <v>33</v>
      </c>
      <c r="F25" s="5">
        <v>2635089936</v>
      </c>
      <c r="G25" s="79"/>
      <c r="H25" s="78">
        <v>3</v>
      </c>
      <c r="I25" s="183"/>
      <c r="J25" s="179">
        <v>208</v>
      </c>
      <c r="K25" s="153" t="s">
        <v>417</v>
      </c>
      <c r="L25" s="153">
        <v>266</v>
      </c>
      <c r="M25" s="172">
        <v>4800</v>
      </c>
      <c r="N25" s="153">
        <v>335</v>
      </c>
      <c r="O25" s="153" t="s">
        <v>417</v>
      </c>
      <c r="P25" s="153">
        <v>711</v>
      </c>
      <c r="Q25" s="172">
        <v>4800</v>
      </c>
      <c r="R25" s="179">
        <v>468</v>
      </c>
      <c r="S25" s="153" t="s">
        <v>476</v>
      </c>
      <c r="T25" s="153">
        <v>1158</v>
      </c>
      <c r="U25" s="172">
        <v>3600</v>
      </c>
      <c r="V25" s="179">
        <v>567</v>
      </c>
      <c r="W25" s="153" t="s">
        <v>417</v>
      </c>
      <c r="X25" s="153">
        <v>1478</v>
      </c>
      <c r="Y25" s="172">
        <v>3600</v>
      </c>
      <c r="Z25" s="5"/>
      <c r="AA25" s="5"/>
    </row>
    <row r="26" spans="1:27" s="1" customFormat="1" ht="75" x14ac:dyDescent="0.25">
      <c r="A26" s="182">
        <v>21</v>
      </c>
      <c r="B26" s="158" t="s">
        <v>224</v>
      </c>
      <c r="C26" s="17" t="s">
        <v>225</v>
      </c>
      <c r="D26" s="93" t="s">
        <v>380</v>
      </c>
      <c r="E26" s="5" t="s">
        <v>33</v>
      </c>
      <c r="F26" s="5">
        <v>2633001950</v>
      </c>
      <c r="G26" s="79"/>
      <c r="H26" s="78"/>
      <c r="I26" s="183">
        <v>17</v>
      </c>
      <c r="J26" s="179">
        <v>226</v>
      </c>
      <c r="K26" s="143" t="s">
        <v>416</v>
      </c>
      <c r="L26" s="153">
        <v>320</v>
      </c>
      <c r="M26" s="172">
        <v>20400</v>
      </c>
      <c r="N26" s="153">
        <v>314</v>
      </c>
      <c r="O26" s="153" t="s">
        <v>417</v>
      </c>
      <c r="P26" s="153">
        <v>632</v>
      </c>
      <c r="Q26" s="172">
        <v>20400</v>
      </c>
      <c r="R26" s="179">
        <v>436</v>
      </c>
      <c r="S26" s="153" t="s">
        <v>417</v>
      </c>
      <c r="T26" s="153">
        <v>1076</v>
      </c>
      <c r="U26" s="172">
        <v>20400</v>
      </c>
      <c r="V26" s="179">
        <v>594</v>
      </c>
      <c r="W26" s="153" t="s">
        <v>417</v>
      </c>
      <c r="X26" s="153">
        <v>1551</v>
      </c>
      <c r="Y26" s="172">
        <v>20400</v>
      </c>
      <c r="Z26" s="5"/>
      <c r="AA26" s="5"/>
    </row>
    <row r="27" spans="1:27" s="1" customFormat="1" ht="90" x14ac:dyDescent="0.25">
      <c r="A27" s="182">
        <v>22</v>
      </c>
      <c r="B27" s="158" t="s">
        <v>401</v>
      </c>
      <c r="C27" s="17" t="s">
        <v>402</v>
      </c>
      <c r="D27" s="93" t="s">
        <v>665</v>
      </c>
      <c r="E27" s="5" t="s">
        <v>33</v>
      </c>
      <c r="F27" s="5">
        <v>2634067584</v>
      </c>
      <c r="G27" s="79"/>
      <c r="H27" s="78"/>
      <c r="I27" s="184">
        <v>4</v>
      </c>
      <c r="J27" s="179">
        <v>228</v>
      </c>
      <c r="K27" s="153" t="s">
        <v>417</v>
      </c>
      <c r="L27" s="153">
        <v>324</v>
      </c>
      <c r="M27" s="172">
        <v>3600</v>
      </c>
      <c r="N27" s="179">
        <v>380</v>
      </c>
      <c r="O27" s="153" t="s">
        <v>417</v>
      </c>
      <c r="P27" s="153">
        <v>779</v>
      </c>
      <c r="Q27" s="172">
        <v>3600</v>
      </c>
      <c r="R27" s="179">
        <v>531</v>
      </c>
      <c r="S27" s="153" t="s">
        <v>417</v>
      </c>
      <c r="T27" s="153">
        <v>1330</v>
      </c>
      <c r="U27" s="172">
        <v>3600</v>
      </c>
      <c r="V27" s="179">
        <v>664</v>
      </c>
      <c r="W27" s="153" t="s">
        <v>476</v>
      </c>
      <c r="X27" s="153">
        <v>144</v>
      </c>
      <c r="Y27" s="172">
        <v>4800</v>
      </c>
      <c r="Z27" s="5"/>
      <c r="AA27" s="5"/>
    </row>
    <row r="28" spans="1:27" s="1" customFormat="1" ht="90" x14ac:dyDescent="0.25">
      <c r="A28" s="182">
        <v>23</v>
      </c>
      <c r="B28" s="158" t="s">
        <v>215</v>
      </c>
      <c r="C28" s="17" t="s">
        <v>217</v>
      </c>
      <c r="D28" s="246" t="s">
        <v>646</v>
      </c>
      <c r="E28" s="75" t="s">
        <v>33</v>
      </c>
      <c r="F28" s="5">
        <v>2636089294</v>
      </c>
      <c r="G28" s="79"/>
      <c r="H28" s="210"/>
      <c r="I28" s="211">
        <v>7</v>
      </c>
      <c r="J28" s="179">
        <v>221</v>
      </c>
      <c r="K28" s="153" t="s">
        <v>456</v>
      </c>
      <c r="L28" s="153">
        <v>299</v>
      </c>
      <c r="M28" s="172">
        <v>8400</v>
      </c>
      <c r="N28" s="153">
        <v>327</v>
      </c>
      <c r="O28" s="153" t="s">
        <v>456</v>
      </c>
      <c r="P28" s="153">
        <v>714</v>
      </c>
      <c r="Q28" s="172">
        <v>8400</v>
      </c>
      <c r="R28" s="179">
        <v>459</v>
      </c>
      <c r="S28" s="153" t="s">
        <v>645</v>
      </c>
      <c r="T28" s="153">
        <v>1145</v>
      </c>
      <c r="U28" s="172">
        <v>4800</v>
      </c>
      <c r="V28" s="179">
        <v>621</v>
      </c>
      <c r="W28" s="153" t="s">
        <v>476</v>
      </c>
      <c r="X28" s="153">
        <v>1583</v>
      </c>
      <c r="Y28" s="172">
        <v>8400</v>
      </c>
      <c r="Z28" s="5"/>
      <c r="AA28" s="5"/>
    </row>
    <row r="29" spans="1:27" s="1" customFormat="1" ht="45" x14ac:dyDescent="0.25">
      <c r="A29" s="182">
        <v>24</v>
      </c>
      <c r="B29" s="158" t="s">
        <v>537</v>
      </c>
      <c r="C29" s="17" t="s">
        <v>470</v>
      </c>
      <c r="D29" s="93" t="s">
        <v>491</v>
      </c>
      <c r="E29" s="5" t="s">
        <v>33</v>
      </c>
      <c r="F29" s="75">
        <v>2635232671</v>
      </c>
      <c r="G29" s="75"/>
      <c r="H29" s="79"/>
      <c r="I29" s="183"/>
      <c r="J29" s="192">
        <v>245</v>
      </c>
      <c r="K29" s="6" t="s">
        <v>417</v>
      </c>
      <c r="L29" s="6">
        <v>337</v>
      </c>
      <c r="M29" s="193">
        <v>23400</v>
      </c>
      <c r="N29" s="179">
        <v>347</v>
      </c>
      <c r="O29" s="153" t="s">
        <v>417</v>
      </c>
      <c r="P29" s="153">
        <v>730</v>
      </c>
      <c r="Q29" s="172">
        <v>23400</v>
      </c>
      <c r="R29" s="179">
        <v>469</v>
      </c>
      <c r="S29" s="153" t="s">
        <v>417</v>
      </c>
      <c r="T29" s="153">
        <v>1159</v>
      </c>
      <c r="U29" s="172">
        <v>23400</v>
      </c>
      <c r="V29" s="179">
        <v>605</v>
      </c>
      <c r="W29" s="153" t="s">
        <v>476</v>
      </c>
      <c r="X29" s="153">
        <v>1568</v>
      </c>
      <c r="Y29" s="172">
        <v>23400</v>
      </c>
      <c r="Z29" s="75"/>
      <c r="AA29" s="5"/>
    </row>
    <row r="30" spans="1:27" s="1" customFormat="1" ht="75" x14ac:dyDescent="0.25">
      <c r="A30" s="182">
        <v>25</v>
      </c>
      <c r="B30" s="158" t="s">
        <v>10</v>
      </c>
      <c r="C30" s="17" t="s">
        <v>399</v>
      </c>
      <c r="D30" s="53" t="s">
        <v>379</v>
      </c>
      <c r="E30" s="5" t="s">
        <v>33</v>
      </c>
      <c r="F30" s="5">
        <v>2635221863</v>
      </c>
      <c r="G30" s="5"/>
      <c r="H30" s="79">
        <v>15</v>
      </c>
      <c r="I30" s="183"/>
      <c r="J30" s="179">
        <v>258</v>
      </c>
      <c r="K30" s="153" t="s">
        <v>417</v>
      </c>
      <c r="L30" s="153">
        <v>372</v>
      </c>
      <c r="M30" s="172">
        <v>18000</v>
      </c>
      <c r="N30" s="179">
        <v>381</v>
      </c>
      <c r="O30" s="153" t="s">
        <v>417</v>
      </c>
      <c r="P30" s="153">
        <v>780</v>
      </c>
      <c r="Q30" s="172">
        <v>18000</v>
      </c>
      <c r="R30" s="179">
        <v>451</v>
      </c>
      <c r="S30" s="153" t="s">
        <v>417</v>
      </c>
      <c r="T30" s="153">
        <v>1095</v>
      </c>
      <c r="U30" s="172">
        <v>18000</v>
      </c>
      <c r="V30" s="179">
        <v>580</v>
      </c>
      <c r="W30" s="153" t="s">
        <v>417</v>
      </c>
      <c r="X30" s="153">
        <v>1504</v>
      </c>
      <c r="Y30" s="172">
        <v>18000</v>
      </c>
      <c r="Z30" s="5"/>
      <c r="AA30" s="5"/>
    </row>
    <row r="31" spans="1:27" s="1" customFormat="1" ht="60" x14ac:dyDescent="0.25">
      <c r="A31" s="182">
        <v>26</v>
      </c>
      <c r="B31" s="158" t="s">
        <v>233</v>
      </c>
      <c r="C31" s="17" t="s">
        <v>636</v>
      </c>
      <c r="D31" s="93" t="s">
        <v>396</v>
      </c>
      <c r="E31" s="5" t="s">
        <v>33</v>
      </c>
      <c r="F31" s="75">
        <v>2633002721</v>
      </c>
      <c r="G31" s="79"/>
      <c r="H31" s="78"/>
      <c r="I31" s="184">
        <v>10</v>
      </c>
      <c r="J31" s="179">
        <v>215</v>
      </c>
      <c r="K31" s="153" t="s">
        <v>435</v>
      </c>
      <c r="L31" s="153">
        <v>285</v>
      </c>
      <c r="M31" s="172">
        <v>12000</v>
      </c>
      <c r="N31" s="153">
        <v>362</v>
      </c>
      <c r="O31" s="153" t="s">
        <v>417</v>
      </c>
      <c r="P31" s="153">
        <v>749</v>
      </c>
      <c r="Q31" s="172">
        <v>12000</v>
      </c>
      <c r="R31" s="179">
        <v>500</v>
      </c>
      <c r="S31" s="153" t="s">
        <v>417</v>
      </c>
      <c r="T31" s="153">
        <v>1215</v>
      </c>
      <c r="U31" s="172">
        <v>12000</v>
      </c>
      <c r="V31" s="179">
        <v>564</v>
      </c>
      <c r="W31" s="153" t="s">
        <v>417</v>
      </c>
      <c r="X31" s="153">
        <v>1475</v>
      </c>
      <c r="Y31" s="172">
        <v>12000</v>
      </c>
      <c r="Z31" s="5"/>
      <c r="AA31" s="5"/>
    </row>
    <row r="32" spans="1:27" s="1" customFormat="1" ht="60" x14ac:dyDescent="0.25">
      <c r="A32" s="182">
        <v>27</v>
      </c>
      <c r="B32" s="159" t="s">
        <v>193</v>
      </c>
      <c r="C32" s="17" t="s">
        <v>194</v>
      </c>
      <c r="D32" s="93" t="s">
        <v>364</v>
      </c>
      <c r="E32" s="5" t="s">
        <v>33</v>
      </c>
      <c r="F32" s="5">
        <v>2633002440</v>
      </c>
      <c r="G32" s="79"/>
      <c r="H32" s="78">
        <v>5</v>
      </c>
      <c r="I32" s="183"/>
      <c r="J32" s="179">
        <v>212</v>
      </c>
      <c r="K32" s="153" t="s">
        <v>417</v>
      </c>
      <c r="L32" s="153">
        <v>265</v>
      </c>
      <c r="M32" s="172">
        <v>6000</v>
      </c>
      <c r="N32" s="179">
        <v>319</v>
      </c>
      <c r="O32" s="153" t="s">
        <v>417</v>
      </c>
      <c r="P32" s="153">
        <v>662</v>
      </c>
      <c r="Q32" s="172">
        <v>6000</v>
      </c>
      <c r="R32" s="179">
        <v>460</v>
      </c>
      <c r="S32" s="143" t="s">
        <v>417</v>
      </c>
      <c r="T32" s="153">
        <v>1144</v>
      </c>
      <c r="U32" s="172">
        <v>6000</v>
      </c>
      <c r="V32" s="179">
        <v>608</v>
      </c>
      <c r="W32" s="143" t="s">
        <v>417</v>
      </c>
      <c r="X32" s="153">
        <v>1573</v>
      </c>
      <c r="Y32" s="172">
        <v>6000</v>
      </c>
      <c r="Z32" s="5"/>
      <c r="AA32" s="5"/>
    </row>
    <row r="33" spans="1:27" s="1" customFormat="1" ht="90" x14ac:dyDescent="0.25">
      <c r="A33" s="182">
        <v>28</v>
      </c>
      <c r="B33" s="160" t="s">
        <v>343</v>
      </c>
      <c r="C33" s="139" t="s">
        <v>345</v>
      </c>
      <c r="D33" s="93" t="s">
        <v>662</v>
      </c>
      <c r="E33" s="5" t="s">
        <v>33</v>
      </c>
      <c r="F33" s="5">
        <v>2623015062</v>
      </c>
      <c r="G33" s="5"/>
      <c r="H33" s="5">
        <v>4</v>
      </c>
      <c r="I33" s="183"/>
      <c r="J33" s="179">
        <v>281</v>
      </c>
      <c r="K33" s="153" t="s">
        <v>435</v>
      </c>
      <c r="L33" s="153">
        <v>570</v>
      </c>
      <c r="M33" s="172">
        <v>3600</v>
      </c>
      <c r="N33" s="153">
        <v>371</v>
      </c>
      <c r="O33" s="153" t="s">
        <v>417</v>
      </c>
      <c r="P33" s="153">
        <v>762</v>
      </c>
      <c r="Q33" s="172">
        <v>3600</v>
      </c>
      <c r="R33" s="179">
        <v>540</v>
      </c>
      <c r="S33" s="153" t="s">
        <v>417</v>
      </c>
      <c r="T33" s="153">
        <v>1382</v>
      </c>
      <c r="U33" s="172">
        <v>4800</v>
      </c>
      <c r="V33" s="153">
        <v>663</v>
      </c>
      <c r="W33" s="143" t="s">
        <v>417</v>
      </c>
      <c r="X33" s="75"/>
      <c r="Y33" s="75"/>
      <c r="Z33" s="5"/>
      <c r="AA33" s="5"/>
    </row>
    <row r="34" spans="1:27" s="1" customFormat="1" ht="135" x14ac:dyDescent="0.25">
      <c r="A34" s="182">
        <v>29</v>
      </c>
      <c r="B34" s="158" t="s">
        <v>154</v>
      </c>
      <c r="C34" s="17" t="s">
        <v>145</v>
      </c>
      <c r="D34" s="93" t="s">
        <v>632</v>
      </c>
      <c r="E34" s="75" t="s">
        <v>33</v>
      </c>
      <c r="F34" s="5">
        <v>2633003193</v>
      </c>
      <c r="G34" s="5"/>
      <c r="H34" s="149">
        <v>21</v>
      </c>
      <c r="I34" s="183">
        <v>13</v>
      </c>
      <c r="J34" s="179">
        <v>191</v>
      </c>
      <c r="K34" s="143" t="s">
        <v>442</v>
      </c>
      <c r="L34" s="153">
        <v>200</v>
      </c>
      <c r="M34" s="172">
        <v>30000</v>
      </c>
      <c r="N34" s="153">
        <v>305</v>
      </c>
      <c r="O34" s="153" t="s">
        <v>417</v>
      </c>
      <c r="P34" s="153">
        <v>610</v>
      </c>
      <c r="Q34" s="172">
        <v>30000</v>
      </c>
      <c r="R34" s="179">
        <v>423</v>
      </c>
      <c r="S34" s="143" t="s">
        <v>449</v>
      </c>
      <c r="T34" s="153">
        <v>396</v>
      </c>
      <c r="U34" s="172">
        <v>30000</v>
      </c>
      <c r="V34" s="179">
        <v>545</v>
      </c>
      <c r="W34" s="143" t="s">
        <v>476</v>
      </c>
      <c r="X34" s="153">
        <v>1418</v>
      </c>
      <c r="Y34" s="172">
        <v>28800</v>
      </c>
      <c r="Z34" s="173"/>
      <c r="AA34" s="5"/>
    </row>
    <row r="35" spans="1:27" s="1" customFormat="1" ht="60" x14ac:dyDescent="0.25">
      <c r="A35" s="182">
        <v>30</v>
      </c>
      <c r="B35" s="158" t="s">
        <v>463</v>
      </c>
      <c r="C35" s="17" t="s">
        <v>405</v>
      </c>
      <c r="D35" s="93" t="s">
        <v>562</v>
      </c>
      <c r="E35" s="5" t="s">
        <v>33</v>
      </c>
      <c r="F35" s="5">
        <v>2633001990</v>
      </c>
      <c r="G35" s="79"/>
      <c r="H35" s="78"/>
      <c r="I35" s="184">
        <v>7</v>
      </c>
      <c r="J35" s="179">
        <v>227</v>
      </c>
      <c r="K35" s="153" t="s">
        <v>417</v>
      </c>
      <c r="L35" s="153">
        <v>321</v>
      </c>
      <c r="M35" s="172">
        <v>8400</v>
      </c>
      <c r="N35" s="153">
        <v>359</v>
      </c>
      <c r="O35" s="153" t="s">
        <v>417</v>
      </c>
      <c r="P35" s="153">
        <v>742</v>
      </c>
      <c r="Q35" s="172">
        <v>8400</v>
      </c>
      <c r="R35" s="179">
        <v>470</v>
      </c>
      <c r="S35" s="250" t="s">
        <v>596</v>
      </c>
      <c r="T35" s="153">
        <v>1166</v>
      </c>
      <c r="U35" s="172">
        <v>8400</v>
      </c>
      <c r="V35" s="179">
        <v>571</v>
      </c>
      <c r="W35" s="153" t="s">
        <v>417</v>
      </c>
      <c r="X35" s="153">
        <v>1483</v>
      </c>
      <c r="Y35" s="172">
        <v>8400</v>
      </c>
      <c r="Z35" s="5"/>
      <c r="AA35" s="5"/>
    </row>
    <row r="36" spans="1:27" s="1" customFormat="1" ht="45" x14ac:dyDescent="0.25">
      <c r="A36" s="182">
        <v>31</v>
      </c>
      <c r="B36" s="158" t="s">
        <v>158</v>
      </c>
      <c r="C36" s="17" t="s">
        <v>163</v>
      </c>
      <c r="D36" s="93" t="s">
        <v>497</v>
      </c>
      <c r="E36" s="5" t="s">
        <v>33</v>
      </c>
      <c r="F36" s="5">
        <v>2636004646</v>
      </c>
      <c r="G36" s="79"/>
      <c r="H36" s="79"/>
      <c r="I36" s="183">
        <v>2</v>
      </c>
      <c r="J36" s="179">
        <v>292</v>
      </c>
      <c r="K36" s="153" t="s">
        <v>449</v>
      </c>
      <c r="L36" s="153">
        <v>507</v>
      </c>
      <c r="M36" s="172">
        <v>2400</v>
      </c>
      <c r="N36" s="153">
        <v>379</v>
      </c>
      <c r="O36" s="153" t="s">
        <v>417</v>
      </c>
      <c r="P36" s="153">
        <v>778</v>
      </c>
      <c r="Q36" s="172">
        <v>2400</v>
      </c>
      <c r="R36" s="179">
        <v>514</v>
      </c>
      <c r="S36" s="153" t="s">
        <v>417</v>
      </c>
      <c r="T36" s="153">
        <v>1266</v>
      </c>
      <c r="U36" s="172">
        <v>2400</v>
      </c>
      <c r="V36" s="153">
        <v>592</v>
      </c>
      <c r="W36" s="153" t="s">
        <v>417</v>
      </c>
      <c r="X36" s="153">
        <v>1543</v>
      </c>
      <c r="Y36" s="172">
        <v>2400</v>
      </c>
      <c r="Z36" s="5"/>
      <c r="AA36" s="5"/>
    </row>
    <row r="37" spans="1:27" s="1" customFormat="1" ht="30" x14ac:dyDescent="0.25">
      <c r="A37" s="182">
        <v>32</v>
      </c>
      <c r="B37" s="158" t="s">
        <v>259</v>
      </c>
      <c r="C37" s="17" t="s">
        <v>101</v>
      </c>
      <c r="D37" s="53" t="s">
        <v>260</v>
      </c>
      <c r="E37" s="25" t="s">
        <v>489</v>
      </c>
      <c r="F37" s="5">
        <v>2635814951</v>
      </c>
      <c r="G37" s="5" t="s">
        <v>378</v>
      </c>
      <c r="H37" s="78"/>
      <c r="I37" s="183"/>
      <c r="J37" s="179">
        <v>241</v>
      </c>
      <c r="K37" s="206" t="s">
        <v>488</v>
      </c>
      <c r="L37" s="153">
        <v>331</v>
      </c>
      <c r="M37" s="172">
        <v>46800</v>
      </c>
      <c r="N37" s="227"/>
      <c r="O37" s="227"/>
      <c r="P37" s="227"/>
      <c r="Q37" s="227"/>
      <c r="R37" s="227"/>
      <c r="S37" s="227"/>
      <c r="T37" s="227"/>
      <c r="U37" s="227"/>
      <c r="V37" s="227"/>
      <c r="W37" s="228"/>
      <c r="X37" s="228"/>
      <c r="Y37" s="228"/>
      <c r="Z37" s="228"/>
      <c r="AA37" s="5"/>
    </row>
    <row r="38" spans="1:27" s="1" customFormat="1" ht="60" x14ac:dyDescent="0.25">
      <c r="A38" s="182">
        <v>33</v>
      </c>
      <c r="B38" s="160" t="s">
        <v>236</v>
      </c>
      <c r="C38" s="139" t="s">
        <v>237</v>
      </c>
      <c r="D38" s="221" t="s">
        <v>238</v>
      </c>
      <c r="E38" s="5" t="s">
        <v>33</v>
      </c>
      <c r="F38" s="5">
        <v>2623018659</v>
      </c>
      <c r="G38" s="79"/>
      <c r="H38" s="78">
        <v>1</v>
      </c>
      <c r="I38" s="183"/>
      <c r="J38" s="179" t="s">
        <v>519</v>
      </c>
      <c r="K38" s="153"/>
      <c r="L38" s="153"/>
      <c r="M38" s="172">
        <v>1200</v>
      </c>
      <c r="N38" s="153">
        <v>306</v>
      </c>
      <c r="O38" s="153" t="s">
        <v>417</v>
      </c>
      <c r="P38" s="153">
        <v>611</v>
      </c>
      <c r="Q38" s="172">
        <v>1200</v>
      </c>
      <c r="R38" s="143"/>
      <c r="S38" s="143"/>
      <c r="T38" s="143"/>
      <c r="U38" s="143"/>
      <c r="V38" s="153">
        <v>593</v>
      </c>
      <c r="W38" s="153" t="s">
        <v>417</v>
      </c>
      <c r="X38" s="153">
        <v>1544</v>
      </c>
      <c r="Y38" s="172">
        <v>2400</v>
      </c>
      <c r="Z38" s="5"/>
      <c r="AA38" s="5"/>
    </row>
    <row r="39" spans="1:27" s="1" customFormat="1" ht="60" x14ac:dyDescent="0.25">
      <c r="A39" s="182">
        <v>34</v>
      </c>
      <c r="B39" s="158" t="s">
        <v>372</v>
      </c>
      <c r="C39" s="17" t="s">
        <v>373</v>
      </c>
      <c r="D39" s="221" t="s">
        <v>374</v>
      </c>
      <c r="E39" s="5" t="s">
        <v>33</v>
      </c>
      <c r="F39" s="5">
        <v>2636810075</v>
      </c>
      <c r="G39" s="79"/>
      <c r="H39" s="78">
        <v>1</v>
      </c>
      <c r="I39" s="183"/>
      <c r="J39" s="179">
        <v>277</v>
      </c>
      <c r="K39" s="153" t="s">
        <v>417</v>
      </c>
      <c r="L39" s="153">
        <v>442</v>
      </c>
      <c r="M39" s="172">
        <v>1200</v>
      </c>
      <c r="N39" s="153">
        <v>376</v>
      </c>
      <c r="O39" s="153" t="s">
        <v>417</v>
      </c>
      <c r="P39" s="153">
        <v>774</v>
      </c>
      <c r="Q39" s="172">
        <v>1200</v>
      </c>
      <c r="R39" s="179">
        <v>521</v>
      </c>
      <c r="S39" s="153" t="s">
        <v>417</v>
      </c>
      <c r="T39" s="153">
        <v>1300</v>
      </c>
      <c r="U39" s="172">
        <v>1200</v>
      </c>
      <c r="V39" s="153">
        <v>655</v>
      </c>
      <c r="W39" s="153" t="s">
        <v>417</v>
      </c>
      <c r="X39" s="153">
        <v>111</v>
      </c>
      <c r="Y39" s="172">
        <v>1200</v>
      </c>
      <c r="Z39" s="5"/>
      <c r="AA39" s="5"/>
    </row>
    <row r="40" spans="1:27" s="1" customFormat="1" ht="45" x14ac:dyDescent="0.25">
      <c r="A40" s="182">
        <v>35</v>
      </c>
      <c r="B40" s="158" t="s">
        <v>113</v>
      </c>
      <c r="C40" s="17" t="s">
        <v>114</v>
      </c>
      <c r="D40" s="221" t="s">
        <v>115</v>
      </c>
      <c r="E40" s="75" t="s">
        <v>33</v>
      </c>
      <c r="F40" s="148">
        <v>2634103698</v>
      </c>
      <c r="G40" s="148"/>
      <c r="H40" s="169">
        <v>2</v>
      </c>
      <c r="I40" s="183"/>
      <c r="J40" s="178"/>
      <c r="K40" s="144"/>
      <c r="L40" s="144"/>
      <c r="M40" s="171"/>
      <c r="N40" s="144"/>
      <c r="O40" s="144"/>
      <c r="P40" s="144"/>
      <c r="Q40" s="144"/>
      <c r="R40" s="144"/>
      <c r="S40" s="144"/>
      <c r="T40" s="144"/>
      <c r="U40" s="144"/>
      <c r="V40" s="144"/>
      <c r="W40" s="5"/>
      <c r="X40" s="5"/>
      <c r="Y40" s="5"/>
      <c r="Z40" s="5"/>
      <c r="AA40" s="5"/>
    </row>
    <row r="41" spans="1:27" s="1" customFormat="1" ht="60" x14ac:dyDescent="0.25">
      <c r="A41" s="182">
        <v>36</v>
      </c>
      <c r="B41" s="159" t="s">
        <v>310</v>
      </c>
      <c r="C41" s="17" t="s">
        <v>311</v>
      </c>
      <c r="D41" s="221" t="s">
        <v>312</v>
      </c>
      <c r="E41" s="5" t="s">
        <v>33</v>
      </c>
      <c r="F41" s="5">
        <v>2636087924</v>
      </c>
      <c r="G41" s="5"/>
      <c r="H41" s="5">
        <v>1</v>
      </c>
      <c r="I41" s="183"/>
      <c r="J41" s="179">
        <v>285</v>
      </c>
      <c r="K41" s="153" t="s">
        <v>417</v>
      </c>
      <c r="L41" s="153">
        <v>481</v>
      </c>
      <c r="M41" s="172">
        <v>1200</v>
      </c>
      <c r="N41" s="153">
        <v>398</v>
      </c>
      <c r="O41" s="153" t="s">
        <v>417</v>
      </c>
      <c r="P41" s="153">
        <v>842</v>
      </c>
      <c r="Q41" s="172">
        <v>1200</v>
      </c>
      <c r="R41" s="153">
        <v>504</v>
      </c>
      <c r="S41" s="153" t="s">
        <v>417</v>
      </c>
      <c r="T41" s="153">
        <v>1228</v>
      </c>
      <c r="U41" s="172">
        <v>1200</v>
      </c>
      <c r="V41" s="179">
        <v>632</v>
      </c>
      <c r="W41" s="153" t="s">
        <v>417</v>
      </c>
      <c r="X41" s="153">
        <v>29</v>
      </c>
      <c r="Y41" s="172">
        <v>1200</v>
      </c>
      <c r="Z41" s="5"/>
      <c r="AA41" s="5"/>
    </row>
    <row r="42" spans="1:27" s="1" customFormat="1" ht="45" x14ac:dyDescent="0.25">
      <c r="A42" s="182">
        <v>37</v>
      </c>
      <c r="B42" s="158" t="s">
        <v>408</v>
      </c>
      <c r="C42" s="202" t="s">
        <v>412</v>
      </c>
      <c r="D42" s="221" t="s">
        <v>411</v>
      </c>
      <c r="E42" s="5" t="s">
        <v>33</v>
      </c>
      <c r="F42" s="5">
        <v>2635083892</v>
      </c>
      <c r="G42" s="79"/>
      <c r="H42" s="78">
        <v>1</v>
      </c>
      <c r="I42" s="184"/>
      <c r="J42" s="179">
        <v>252</v>
      </c>
      <c r="K42" s="153" t="s">
        <v>417</v>
      </c>
      <c r="L42" s="153">
        <v>357</v>
      </c>
      <c r="M42" s="172">
        <v>1200</v>
      </c>
      <c r="N42" s="153">
        <v>377</v>
      </c>
      <c r="O42" s="153" t="s">
        <v>417</v>
      </c>
      <c r="P42" s="153">
        <v>775</v>
      </c>
      <c r="Q42" s="172">
        <v>1200</v>
      </c>
      <c r="R42" s="179">
        <v>519</v>
      </c>
      <c r="S42" s="153" t="s">
        <v>417</v>
      </c>
      <c r="T42" s="153">
        <v>1298</v>
      </c>
      <c r="U42" s="172">
        <v>1200</v>
      </c>
      <c r="V42" s="179">
        <v>625</v>
      </c>
      <c r="W42" s="153" t="s">
        <v>596</v>
      </c>
      <c r="X42" s="153">
        <v>22</v>
      </c>
      <c r="Y42" s="172">
        <v>1200</v>
      </c>
      <c r="Z42" s="5"/>
      <c r="AA42" s="5"/>
    </row>
    <row r="43" spans="1:27" s="1" customFormat="1" ht="60" x14ac:dyDescent="0.25">
      <c r="A43" s="182">
        <v>38</v>
      </c>
      <c r="B43" s="158" t="s">
        <v>171</v>
      </c>
      <c r="C43" s="17" t="s">
        <v>172</v>
      </c>
      <c r="D43" s="221" t="s">
        <v>173</v>
      </c>
      <c r="E43" s="5" t="s">
        <v>33</v>
      </c>
      <c r="F43" s="5">
        <v>2635085339</v>
      </c>
      <c r="G43" s="79"/>
      <c r="H43" s="78">
        <v>1</v>
      </c>
      <c r="I43" s="183">
        <v>1</v>
      </c>
      <c r="J43" s="179">
        <v>244</v>
      </c>
      <c r="K43" s="153" t="s">
        <v>417</v>
      </c>
      <c r="L43" s="153">
        <v>344</v>
      </c>
      <c r="M43" s="172">
        <v>2400</v>
      </c>
      <c r="N43" s="153">
        <v>343</v>
      </c>
      <c r="O43" s="153" t="s">
        <v>449</v>
      </c>
      <c r="P43" s="153">
        <v>723</v>
      </c>
      <c r="Q43" s="172">
        <v>2400</v>
      </c>
      <c r="R43" s="179">
        <v>472</v>
      </c>
      <c r="S43" s="153" t="s">
        <v>417</v>
      </c>
      <c r="T43" s="153">
        <v>1168</v>
      </c>
      <c r="U43" s="172">
        <v>2400</v>
      </c>
      <c r="V43" s="179">
        <v>616</v>
      </c>
      <c r="W43" s="153" t="s">
        <v>417</v>
      </c>
      <c r="X43" s="153">
        <v>7</v>
      </c>
      <c r="Y43" s="172">
        <v>2400</v>
      </c>
      <c r="Z43" s="5"/>
      <c r="AA43" s="5"/>
    </row>
    <row r="44" spans="1:27" s="1" customFormat="1" ht="60" x14ac:dyDescent="0.25">
      <c r="A44" s="182">
        <v>39</v>
      </c>
      <c r="B44" s="159" t="s">
        <v>279</v>
      </c>
      <c r="C44" s="17" t="s">
        <v>276</v>
      </c>
      <c r="D44" s="221" t="s">
        <v>275</v>
      </c>
      <c r="E44" s="5" t="s">
        <v>33</v>
      </c>
      <c r="F44" s="5">
        <v>2634063413</v>
      </c>
      <c r="G44" s="5"/>
      <c r="H44" s="75">
        <v>2</v>
      </c>
      <c r="I44" s="183"/>
      <c r="J44" s="179">
        <v>272</v>
      </c>
      <c r="K44" s="153" t="s">
        <v>486</v>
      </c>
      <c r="L44" s="153">
        <v>406</v>
      </c>
      <c r="M44" s="172">
        <v>2400</v>
      </c>
      <c r="N44" s="153">
        <v>390</v>
      </c>
      <c r="O44" s="153" t="s">
        <v>417</v>
      </c>
      <c r="P44" s="153">
        <v>830</v>
      </c>
      <c r="Q44" s="172">
        <v>2400</v>
      </c>
      <c r="R44" s="153"/>
      <c r="S44" s="153"/>
      <c r="T44" s="153"/>
      <c r="U44" s="153"/>
      <c r="V44" s="153">
        <v>552</v>
      </c>
      <c r="W44" s="153" t="s">
        <v>417</v>
      </c>
      <c r="X44" s="153">
        <v>1437</v>
      </c>
      <c r="Y44" s="172">
        <v>4800</v>
      </c>
      <c r="Z44" s="5"/>
      <c r="AA44" s="5"/>
    </row>
    <row r="45" spans="1:27" s="1" customFormat="1" ht="75" x14ac:dyDescent="0.25">
      <c r="A45" s="182">
        <v>40</v>
      </c>
      <c r="B45" s="158" t="s">
        <v>184</v>
      </c>
      <c r="C45" s="17" t="s">
        <v>186</v>
      </c>
      <c r="D45" s="221" t="s">
        <v>185</v>
      </c>
      <c r="E45" s="5" t="s">
        <v>33</v>
      </c>
      <c r="F45" s="5">
        <v>2635101220</v>
      </c>
      <c r="G45" s="79"/>
      <c r="H45" s="78"/>
      <c r="I45" s="183">
        <v>1</v>
      </c>
      <c r="J45" s="179">
        <v>196</v>
      </c>
      <c r="K45" s="153" t="s">
        <v>449</v>
      </c>
      <c r="L45" s="153">
        <v>216</v>
      </c>
      <c r="M45" s="172">
        <v>1200</v>
      </c>
      <c r="N45" s="153">
        <v>330</v>
      </c>
      <c r="O45" s="153" t="s">
        <v>417</v>
      </c>
      <c r="P45" s="153">
        <v>706</v>
      </c>
      <c r="Q45" s="172">
        <v>1200</v>
      </c>
      <c r="R45" s="153">
        <v>448</v>
      </c>
      <c r="S45" s="153" t="s">
        <v>417</v>
      </c>
      <c r="T45" s="153">
        <v>1097</v>
      </c>
      <c r="U45" s="172">
        <v>1200</v>
      </c>
      <c r="V45" s="179">
        <v>637</v>
      </c>
      <c r="W45" s="153" t="s">
        <v>417</v>
      </c>
      <c r="X45" s="153">
        <v>36</v>
      </c>
      <c r="Y45" s="172">
        <v>1200</v>
      </c>
      <c r="Z45" s="5"/>
      <c r="AA45" s="5"/>
    </row>
    <row r="46" spans="1:27" s="1" customFormat="1" ht="45" x14ac:dyDescent="0.25">
      <c r="A46" s="182">
        <v>41</v>
      </c>
      <c r="B46" s="158" t="s">
        <v>410</v>
      </c>
      <c r="C46" s="202" t="s">
        <v>412</v>
      </c>
      <c r="D46" s="221" t="s">
        <v>409</v>
      </c>
      <c r="E46" s="5" t="s">
        <v>33</v>
      </c>
      <c r="F46" s="5">
        <v>2633004976</v>
      </c>
      <c r="G46" s="79"/>
      <c r="H46" s="78">
        <v>3</v>
      </c>
      <c r="I46" s="184"/>
      <c r="J46" s="179">
        <v>251</v>
      </c>
      <c r="K46" s="153" t="s">
        <v>417</v>
      </c>
      <c r="L46" s="153">
        <v>356</v>
      </c>
      <c r="M46" s="172">
        <v>3600</v>
      </c>
      <c r="N46" s="153">
        <v>378</v>
      </c>
      <c r="O46" s="153" t="s">
        <v>417</v>
      </c>
      <c r="P46" s="153">
        <v>776</v>
      </c>
      <c r="Q46" s="153">
        <v>3600</v>
      </c>
      <c r="R46" s="179">
        <v>520</v>
      </c>
      <c r="S46" s="153" t="s">
        <v>417</v>
      </c>
      <c r="T46" s="153">
        <v>1299</v>
      </c>
      <c r="U46" s="172">
        <v>3600</v>
      </c>
      <c r="V46" s="179">
        <v>624</v>
      </c>
      <c r="W46" s="153" t="s">
        <v>417</v>
      </c>
      <c r="X46" s="153">
        <v>21</v>
      </c>
      <c r="Y46" s="172">
        <v>3600</v>
      </c>
      <c r="Z46" s="5"/>
      <c r="AA46" s="5"/>
    </row>
    <row r="47" spans="1:27" s="1" customFormat="1" ht="60" x14ac:dyDescent="0.25">
      <c r="A47" s="182">
        <v>42</v>
      </c>
      <c r="B47" s="158" t="s">
        <v>174</v>
      </c>
      <c r="C47" s="17" t="s">
        <v>175</v>
      </c>
      <c r="D47" s="221" t="s">
        <v>176</v>
      </c>
      <c r="E47" s="5" t="s">
        <v>33</v>
      </c>
      <c r="F47" s="5">
        <v>2635091205</v>
      </c>
      <c r="G47" s="79"/>
      <c r="H47" s="78"/>
      <c r="I47" s="183">
        <v>1</v>
      </c>
      <c r="J47" s="179">
        <v>303</v>
      </c>
      <c r="K47" s="153" t="s">
        <v>449</v>
      </c>
      <c r="L47" s="153">
        <v>558</v>
      </c>
      <c r="M47" s="172">
        <v>1200</v>
      </c>
      <c r="N47" s="153">
        <v>339</v>
      </c>
      <c r="O47" s="153" t="s">
        <v>417</v>
      </c>
      <c r="P47" s="153">
        <v>717</v>
      </c>
      <c r="Q47" s="172">
        <v>1200</v>
      </c>
      <c r="R47" s="179">
        <v>437</v>
      </c>
      <c r="S47" s="153" t="s">
        <v>417</v>
      </c>
      <c r="T47" s="153">
        <v>1077</v>
      </c>
      <c r="U47" s="172">
        <v>1200</v>
      </c>
      <c r="V47" s="179">
        <v>631</v>
      </c>
      <c r="W47" s="153" t="s">
        <v>417</v>
      </c>
      <c r="X47" s="153">
        <v>28</v>
      </c>
      <c r="Y47" s="172">
        <v>1200</v>
      </c>
      <c r="Z47" s="5"/>
      <c r="AA47" s="5"/>
    </row>
    <row r="48" spans="1:27" s="1" customFormat="1" ht="75" x14ac:dyDescent="0.25">
      <c r="A48" s="182">
        <v>43</v>
      </c>
      <c r="B48" s="159" t="s">
        <v>281</v>
      </c>
      <c r="C48" s="17" t="s">
        <v>282</v>
      </c>
      <c r="D48" s="221" t="s">
        <v>283</v>
      </c>
      <c r="E48" s="5" t="s">
        <v>33</v>
      </c>
      <c r="F48" s="5">
        <v>2634093520</v>
      </c>
      <c r="G48" s="5"/>
      <c r="H48" s="75">
        <v>1</v>
      </c>
      <c r="I48" s="183"/>
      <c r="J48" s="179">
        <v>300</v>
      </c>
      <c r="K48" s="153" t="s">
        <v>417</v>
      </c>
      <c r="L48" s="153">
        <v>544</v>
      </c>
      <c r="M48" s="172">
        <v>1200</v>
      </c>
      <c r="N48" s="179">
        <v>414</v>
      </c>
      <c r="O48" s="153" t="s">
        <v>417</v>
      </c>
      <c r="P48" s="153">
        <v>943</v>
      </c>
      <c r="Q48" s="172">
        <v>1200</v>
      </c>
      <c r="R48" s="179">
        <v>532</v>
      </c>
      <c r="S48" s="153" t="s">
        <v>417</v>
      </c>
      <c r="T48" s="153">
        <v>1331</v>
      </c>
      <c r="U48" s="172">
        <v>1200</v>
      </c>
      <c r="V48" s="179">
        <v>629</v>
      </c>
      <c r="W48" s="153" t="s">
        <v>417</v>
      </c>
      <c r="X48" s="153">
        <v>26</v>
      </c>
      <c r="Y48" s="172">
        <v>1200</v>
      </c>
      <c r="Z48" s="5"/>
      <c r="AA48" s="5"/>
    </row>
    <row r="49" spans="1:27" s="1" customFormat="1" ht="60" x14ac:dyDescent="0.25">
      <c r="A49" s="182">
        <v>44</v>
      </c>
      <c r="B49" s="159" t="s">
        <v>280</v>
      </c>
      <c r="C49" s="17" t="s">
        <v>278</v>
      </c>
      <c r="D49" s="221" t="s">
        <v>277</v>
      </c>
      <c r="E49" s="5" t="s">
        <v>33</v>
      </c>
      <c r="F49" s="5">
        <v>2635800236</v>
      </c>
      <c r="G49" s="5"/>
      <c r="H49" s="75">
        <v>1</v>
      </c>
      <c r="I49" s="183"/>
      <c r="J49" s="179">
        <v>213</v>
      </c>
      <c r="K49" s="153" t="s">
        <v>417</v>
      </c>
      <c r="L49" s="153">
        <v>267</v>
      </c>
      <c r="M49" s="172">
        <v>1200</v>
      </c>
      <c r="N49" s="153">
        <v>309</v>
      </c>
      <c r="O49" s="153" t="s">
        <v>417</v>
      </c>
      <c r="P49" s="153">
        <v>616</v>
      </c>
      <c r="Q49" s="172">
        <v>1200</v>
      </c>
      <c r="R49" s="153"/>
      <c r="S49" s="153"/>
      <c r="T49" s="153"/>
      <c r="U49" s="153"/>
      <c r="V49" s="179">
        <v>548</v>
      </c>
      <c r="W49" s="153" t="s">
        <v>417</v>
      </c>
      <c r="X49" s="153">
        <v>1428</v>
      </c>
      <c r="Y49" s="172">
        <v>2400</v>
      </c>
      <c r="Z49" s="5"/>
      <c r="AA49" s="5"/>
    </row>
    <row r="50" spans="1:27" s="1" customFormat="1" ht="60" x14ac:dyDescent="0.25">
      <c r="A50" s="182">
        <v>45</v>
      </c>
      <c r="B50" s="158" t="s">
        <v>151</v>
      </c>
      <c r="C50" s="17" t="s">
        <v>152</v>
      </c>
      <c r="D50" s="221" t="s">
        <v>153</v>
      </c>
      <c r="E50" s="5" t="s">
        <v>33</v>
      </c>
      <c r="F50" s="5">
        <v>2636052167</v>
      </c>
      <c r="G50" s="232"/>
      <c r="H50" s="232"/>
      <c r="I50" s="233"/>
      <c r="J50" s="234"/>
      <c r="K50" s="235"/>
      <c r="L50" s="235"/>
      <c r="M50" s="236"/>
      <c r="N50" s="235"/>
      <c r="O50" s="235"/>
      <c r="P50" s="235"/>
      <c r="Q50" s="235"/>
      <c r="R50" s="235"/>
      <c r="S50" s="235"/>
      <c r="T50" s="235"/>
      <c r="U50" s="235"/>
      <c r="V50" s="235"/>
      <c r="W50" s="232"/>
      <c r="X50" s="232"/>
      <c r="Y50" s="232"/>
      <c r="Z50" s="5"/>
      <c r="AA50" s="5"/>
    </row>
    <row r="51" spans="1:27" s="1" customFormat="1" ht="60" x14ac:dyDescent="0.25">
      <c r="A51" s="182">
        <v>46</v>
      </c>
      <c r="B51" s="159" t="s">
        <v>317</v>
      </c>
      <c r="C51" s="17" t="s">
        <v>318</v>
      </c>
      <c r="D51" s="221" t="s">
        <v>319</v>
      </c>
      <c r="E51" s="5" t="s">
        <v>33</v>
      </c>
      <c r="F51" s="5">
        <v>2635805330</v>
      </c>
      <c r="G51" s="5"/>
      <c r="H51" s="5">
        <v>3</v>
      </c>
      <c r="I51" s="183"/>
      <c r="J51" s="179">
        <v>295</v>
      </c>
      <c r="K51" s="153" t="s">
        <v>417</v>
      </c>
      <c r="L51" s="153">
        <v>512</v>
      </c>
      <c r="M51" s="172">
        <v>2400</v>
      </c>
      <c r="N51" s="179">
        <v>410</v>
      </c>
      <c r="O51" s="153" t="s">
        <v>417</v>
      </c>
      <c r="P51" s="153">
        <v>917</v>
      </c>
      <c r="Q51" s="172">
        <v>2400</v>
      </c>
      <c r="R51" s="179">
        <v>526</v>
      </c>
      <c r="S51" s="153" t="s">
        <v>416</v>
      </c>
      <c r="T51" s="153">
        <v>1311</v>
      </c>
      <c r="U51" s="172">
        <v>2400</v>
      </c>
      <c r="V51" s="179">
        <v>650</v>
      </c>
      <c r="W51" s="153" t="s">
        <v>417</v>
      </c>
      <c r="X51" s="153">
        <v>74</v>
      </c>
      <c r="Y51" s="172">
        <v>2400</v>
      </c>
      <c r="Z51" s="5"/>
      <c r="AA51" s="5"/>
    </row>
    <row r="52" spans="1:27" s="1" customFormat="1" ht="60" x14ac:dyDescent="0.25">
      <c r="A52" s="182">
        <v>47</v>
      </c>
      <c r="B52" s="159" t="s">
        <v>354</v>
      </c>
      <c r="C52" s="17" t="s">
        <v>320</v>
      </c>
      <c r="D52" s="221" t="s">
        <v>321</v>
      </c>
      <c r="E52" s="5" t="s">
        <v>33</v>
      </c>
      <c r="F52" s="5">
        <v>2634096433</v>
      </c>
      <c r="G52" s="5"/>
      <c r="H52" s="5">
        <v>1</v>
      </c>
      <c r="I52" s="183"/>
      <c r="J52" s="179">
        <v>296</v>
      </c>
      <c r="K52" s="153" t="s">
        <v>417</v>
      </c>
      <c r="L52" s="153">
        <v>513</v>
      </c>
      <c r="M52" s="172">
        <v>1200</v>
      </c>
      <c r="N52" s="179">
        <v>411</v>
      </c>
      <c r="O52" s="153" t="s">
        <v>417</v>
      </c>
      <c r="P52" s="153">
        <v>915</v>
      </c>
      <c r="Q52" s="172">
        <v>1200</v>
      </c>
      <c r="R52" s="179">
        <v>527</v>
      </c>
      <c r="S52" s="153" t="s">
        <v>417</v>
      </c>
      <c r="T52" s="153">
        <v>1312</v>
      </c>
      <c r="U52" s="172">
        <v>1200</v>
      </c>
      <c r="V52" s="179">
        <v>651</v>
      </c>
      <c r="W52" s="153" t="s">
        <v>416</v>
      </c>
      <c r="X52" s="153">
        <v>75</v>
      </c>
      <c r="Y52" s="172">
        <v>2400</v>
      </c>
      <c r="Z52" s="5"/>
      <c r="AA52" s="5"/>
    </row>
    <row r="53" spans="1:27" s="1" customFormat="1" ht="45" x14ac:dyDescent="0.25">
      <c r="A53" s="182">
        <v>48</v>
      </c>
      <c r="B53" s="159" t="s">
        <v>314</v>
      </c>
      <c r="C53" s="17" t="s">
        <v>315</v>
      </c>
      <c r="D53" s="221" t="s">
        <v>316</v>
      </c>
      <c r="E53" s="5" t="s">
        <v>33</v>
      </c>
      <c r="F53" s="5">
        <v>2634811299</v>
      </c>
      <c r="G53" s="5"/>
      <c r="H53" s="5">
        <v>2</v>
      </c>
      <c r="I53" s="183"/>
      <c r="J53" s="179">
        <v>282</v>
      </c>
      <c r="K53" s="153" t="s">
        <v>417</v>
      </c>
      <c r="L53" s="153">
        <v>475</v>
      </c>
      <c r="M53" s="172">
        <v>2400</v>
      </c>
      <c r="N53" s="176"/>
      <c r="O53" s="176"/>
      <c r="P53" s="176"/>
      <c r="Q53" s="176"/>
      <c r="R53" s="179">
        <v>430</v>
      </c>
      <c r="S53" s="153" t="s">
        <v>417</v>
      </c>
      <c r="T53" s="153">
        <v>1035</v>
      </c>
      <c r="U53" s="172">
        <v>4800</v>
      </c>
      <c r="V53" s="179">
        <v>658</v>
      </c>
      <c r="W53" s="153" t="s">
        <v>417</v>
      </c>
      <c r="X53" s="153">
        <v>116</v>
      </c>
      <c r="Y53" s="172">
        <v>2400</v>
      </c>
      <c r="Z53" s="5"/>
      <c r="AA53" s="5"/>
    </row>
    <row r="54" spans="1:27" s="1" customFormat="1" ht="60" x14ac:dyDescent="0.25">
      <c r="A54" s="182">
        <v>49</v>
      </c>
      <c r="B54" s="158" t="s">
        <v>223</v>
      </c>
      <c r="C54" s="17" t="s">
        <v>457</v>
      </c>
      <c r="D54" s="221" t="s">
        <v>221</v>
      </c>
      <c r="E54" s="5" t="s">
        <v>33</v>
      </c>
      <c r="F54" s="5">
        <v>2634803347</v>
      </c>
      <c r="G54" s="79"/>
      <c r="H54" s="78"/>
      <c r="I54" s="183">
        <v>2</v>
      </c>
      <c r="J54" s="179">
        <v>211</v>
      </c>
      <c r="K54" s="153" t="s">
        <v>449</v>
      </c>
      <c r="L54" s="153">
        <v>264</v>
      </c>
      <c r="M54" s="172">
        <v>2400</v>
      </c>
      <c r="N54" s="176"/>
      <c r="O54" s="176"/>
      <c r="P54" s="176"/>
      <c r="Q54" s="176"/>
      <c r="R54" s="179">
        <v>471</v>
      </c>
      <c r="S54" s="153" t="s">
        <v>417</v>
      </c>
      <c r="T54" s="153">
        <v>1167</v>
      </c>
      <c r="U54" s="172">
        <v>2400</v>
      </c>
      <c r="V54" s="179">
        <v>606</v>
      </c>
      <c r="W54" s="153" t="s">
        <v>417</v>
      </c>
      <c r="X54" s="153">
        <v>1570</v>
      </c>
      <c r="Y54" s="172">
        <v>2400</v>
      </c>
      <c r="Z54" s="5"/>
      <c r="AA54" s="5"/>
    </row>
    <row r="55" spans="1:27" s="1" customFormat="1" ht="60" x14ac:dyDescent="0.25">
      <c r="A55" s="182">
        <v>50</v>
      </c>
      <c r="B55" s="158" t="s">
        <v>15</v>
      </c>
      <c r="C55" s="17" t="s">
        <v>89</v>
      </c>
      <c r="D55" s="221" t="s">
        <v>150</v>
      </c>
      <c r="E55" s="5" t="s">
        <v>33</v>
      </c>
      <c r="F55" s="5">
        <v>2635221969</v>
      </c>
      <c r="G55" s="5"/>
      <c r="H55" s="78"/>
      <c r="I55" s="183">
        <v>1</v>
      </c>
      <c r="J55" s="216" t="s">
        <v>498</v>
      </c>
      <c r="K55" s="38" t="s">
        <v>499</v>
      </c>
      <c r="L55" s="38" t="s">
        <v>500</v>
      </c>
      <c r="M55" s="193">
        <v>2400</v>
      </c>
      <c r="N55" s="153">
        <v>338</v>
      </c>
      <c r="O55" s="153" t="s">
        <v>417</v>
      </c>
      <c r="P55" s="153">
        <v>716</v>
      </c>
      <c r="Q55" s="172">
        <v>1200</v>
      </c>
      <c r="R55" s="179">
        <v>452</v>
      </c>
      <c r="S55" s="153" t="s">
        <v>417</v>
      </c>
      <c r="T55" s="153">
        <v>1101</v>
      </c>
      <c r="U55" s="172">
        <v>1200</v>
      </c>
      <c r="V55" s="179">
        <v>612</v>
      </c>
      <c r="W55" s="153" t="s">
        <v>643</v>
      </c>
      <c r="X55" s="153">
        <v>3</v>
      </c>
      <c r="Y55" s="172">
        <v>1200</v>
      </c>
      <c r="Z55" s="5"/>
      <c r="AA55" s="5"/>
    </row>
    <row r="56" spans="1:27" s="1" customFormat="1" ht="60" x14ac:dyDescent="0.25">
      <c r="A56" s="182">
        <v>51</v>
      </c>
      <c r="B56" s="159" t="s">
        <v>273</v>
      </c>
      <c r="C56" s="17" t="s">
        <v>285</v>
      </c>
      <c r="D56" s="221" t="s">
        <v>274</v>
      </c>
      <c r="E56" s="5" t="s">
        <v>33</v>
      </c>
      <c r="F56" s="5">
        <v>2635060581</v>
      </c>
      <c r="G56" s="5"/>
      <c r="H56" s="75">
        <v>3</v>
      </c>
      <c r="I56" s="183"/>
      <c r="J56" s="179">
        <v>247</v>
      </c>
      <c r="K56" s="153" t="s">
        <v>417</v>
      </c>
      <c r="L56" s="153">
        <v>345</v>
      </c>
      <c r="M56" s="172">
        <v>2400</v>
      </c>
      <c r="N56" s="153">
        <v>342</v>
      </c>
      <c r="O56" s="153" t="s">
        <v>417</v>
      </c>
      <c r="P56" s="153">
        <v>722</v>
      </c>
      <c r="Q56" s="172">
        <v>2400</v>
      </c>
      <c r="R56" s="179">
        <v>503</v>
      </c>
      <c r="S56" s="153" t="s">
        <v>417</v>
      </c>
      <c r="T56" s="153">
        <v>1227</v>
      </c>
      <c r="U56" s="172">
        <v>3600</v>
      </c>
      <c r="V56" s="179">
        <v>617</v>
      </c>
      <c r="W56" s="153" t="s">
        <v>417</v>
      </c>
      <c r="X56" s="153">
        <v>8</v>
      </c>
      <c r="Y56" s="172">
        <v>3600</v>
      </c>
      <c r="Z56" s="5"/>
      <c r="AA56" s="5"/>
    </row>
    <row r="57" spans="1:27" s="1" customFormat="1" ht="60" x14ac:dyDescent="0.25">
      <c r="A57" s="182">
        <v>52</v>
      </c>
      <c r="B57" s="158" t="s">
        <v>134</v>
      </c>
      <c r="C57" s="17" t="s">
        <v>135</v>
      </c>
      <c r="D57" s="221" t="s">
        <v>136</v>
      </c>
      <c r="E57" s="75" t="s">
        <v>33</v>
      </c>
      <c r="F57" s="5">
        <v>2634101490</v>
      </c>
      <c r="G57" s="78"/>
      <c r="H57" s="78">
        <v>1</v>
      </c>
      <c r="I57" s="183">
        <v>3</v>
      </c>
      <c r="J57" s="179">
        <v>242</v>
      </c>
      <c r="K57" s="153" t="s">
        <v>417</v>
      </c>
      <c r="L57" s="153">
        <v>333</v>
      </c>
      <c r="M57" s="172">
        <v>4800</v>
      </c>
      <c r="N57" s="179">
        <v>420</v>
      </c>
      <c r="O57" s="153" t="s">
        <v>417</v>
      </c>
      <c r="P57" s="153">
        <v>1011</v>
      </c>
      <c r="Q57" s="172">
        <v>4800</v>
      </c>
      <c r="R57" s="179">
        <v>536</v>
      </c>
      <c r="S57" s="153" t="s">
        <v>417</v>
      </c>
      <c r="T57" s="153">
        <v>1360</v>
      </c>
      <c r="U57" s="172">
        <v>4800</v>
      </c>
      <c r="V57" s="179">
        <v>662</v>
      </c>
      <c r="W57" s="153" t="s">
        <v>417</v>
      </c>
      <c r="X57" s="153">
        <v>126</v>
      </c>
      <c r="Y57" s="172">
        <v>4800</v>
      </c>
      <c r="Z57" s="5"/>
      <c r="AA57" s="5"/>
    </row>
    <row r="58" spans="1:27" s="1" customFormat="1" ht="60" x14ac:dyDescent="0.25">
      <c r="A58" s="182">
        <v>53</v>
      </c>
      <c r="B58" s="158" t="s">
        <v>390</v>
      </c>
      <c r="C58" s="17" t="s">
        <v>391</v>
      </c>
      <c r="D58" s="221" t="s">
        <v>392</v>
      </c>
      <c r="E58" s="5" t="s">
        <v>33</v>
      </c>
      <c r="F58" s="5">
        <v>2634813553</v>
      </c>
      <c r="G58" s="79"/>
      <c r="H58" s="78">
        <v>1</v>
      </c>
      <c r="I58" s="184">
        <v>1</v>
      </c>
      <c r="J58" s="179">
        <v>293</v>
      </c>
      <c r="K58" s="153" t="s">
        <v>449</v>
      </c>
      <c r="L58" s="153">
        <v>508</v>
      </c>
      <c r="M58" s="172">
        <v>2400</v>
      </c>
      <c r="N58" s="179"/>
      <c r="O58" s="153"/>
      <c r="P58" s="153"/>
      <c r="Q58" s="172"/>
      <c r="R58" s="179">
        <v>453</v>
      </c>
      <c r="S58" s="153" t="s">
        <v>417</v>
      </c>
      <c r="T58" s="153">
        <v>1102</v>
      </c>
      <c r="U58" s="172">
        <v>4800</v>
      </c>
      <c r="V58" s="142"/>
      <c r="W58" s="75"/>
      <c r="X58" s="75"/>
      <c r="Y58" s="75"/>
      <c r="Z58" s="5"/>
      <c r="AA58" s="5"/>
    </row>
    <row r="59" spans="1:27" s="1" customFormat="1" ht="75" x14ac:dyDescent="0.25">
      <c r="A59" s="182">
        <v>54</v>
      </c>
      <c r="B59" s="158" t="s">
        <v>139</v>
      </c>
      <c r="C59" s="17" t="s">
        <v>138</v>
      </c>
      <c r="D59" s="221" t="s">
        <v>137</v>
      </c>
      <c r="E59" s="75" t="s">
        <v>33</v>
      </c>
      <c r="F59" s="5">
        <v>2634077208</v>
      </c>
      <c r="G59" s="5"/>
      <c r="H59" s="5">
        <v>1</v>
      </c>
      <c r="I59" s="183"/>
      <c r="J59" s="179">
        <v>243</v>
      </c>
      <c r="K59" s="153" t="s">
        <v>417</v>
      </c>
      <c r="L59" s="153">
        <v>336</v>
      </c>
      <c r="M59" s="172">
        <v>1200</v>
      </c>
      <c r="N59" s="153">
        <v>353</v>
      </c>
      <c r="O59" s="153" t="s">
        <v>417</v>
      </c>
      <c r="P59" s="153">
        <v>736</v>
      </c>
      <c r="Q59" s="153">
        <v>1200</v>
      </c>
      <c r="R59" s="179">
        <v>458</v>
      </c>
      <c r="S59" s="153" t="s">
        <v>417</v>
      </c>
      <c r="T59" s="153">
        <v>1146</v>
      </c>
      <c r="U59" s="172">
        <v>1200</v>
      </c>
      <c r="V59" s="179">
        <v>618</v>
      </c>
      <c r="W59" s="153" t="s">
        <v>417</v>
      </c>
      <c r="X59" s="153">
        <v>9</v>
      </c>
      <c r="Y59" s="172">
        <v>1200</v>
      </c>
      <c r="Z59" s="5"/>
      <c r="AA59" s="5"/>
    </row>
    <row r="60" spans="1:27" s="1" customFormat="1" ht="60" x14ac:dyDescent="0.25">
      <c r="A60" s="182">
        <v>55</v>
      </c>
      <c r="B60" s="158" t="s">
        <v>212</v>
      </c>
      <c r="C60" s="17" t="s">
        <v>213</v>
      </c>
      <c r="D60" s="221" t="s">
        <v>214</v>
      </c>
      <c r="E60" s="5" t="s">
        <v>33</v>
      </c>
      <c r="F60" s="5">
        <v>2635134106</v>
      </c>
      <c r="G60" s="79"/>
      <c r="H60" s="78"/>
      <c r="I60" s="183">
        <v>1</v>
      </c>
      <c r="J60" s="179">
        <v>210</v>
      </c>
      <c r="K60" s="153" t="s">
        <v>455</v>
      </c>
      <c r="L60" s="153">
        <v>263</v>
      </c>
      <c r="M60" s="172">
        <v>1200</v>
      </c>
      <c r="N60" s="153">
        <v>337</v>
      </c>
      <c r="O60" s="153" t="s">
        <v>417</v>
      </c>
      <c r="P60" s="153">
        <v>715</v>
      </c>
      <c r="Q60" s="193">
        <v>1200</v>
      </c>
      <c r="R60" s="179">
        <v>438</v>
      </c>
      <c r="S60" s="153" t="s">
        <v>417</v>
      </c>
      <c r="T60" s="153">
        <v>1078</v>
      </c>
      <c r="U60" s="172">
        <v>1200</v>
      </c>
      <c r="V60" s="179">
        <v>597</v>
      </c>
      <c r="W60" s="153" t="s">
        <v>417</v>
      </c>
      <c r="X60" s="153">
        <v>1555</v>
      </c>
      <c r="Y60" s="172">
        <v>1200</v>
      </c>
      <c r="Z60" s="5"/>
      <c r="AA60" s="5"/>
    </row>
    <row r="61" spans="1:27" s="1" customFormat="1" ht="75" x14ac:dyDescent="0.25">
      <c r="A61" s="182">
        <v>56</v>
      </c>
      <c r="B61" s="158" t="s">
        <v>25</v>
      </c>
      <c r="C61" s="17" t="s">
        <v>96</v>
      </c>
      <c r="D61" s="53" t="s">
        <v>516</v>
      </c>
      <c r="E61" s="5" t="s">
        <v>33</v>
      </c>
      <c r="F61" s="5">
        <v>2634069743</v>
      </c>
      <c r="G61" s="5"/>
      <c r="H61" s="79">
        <v>14</v>
      </c>
      <c r="I61" s="183"/>
      <c r="J61" s="192">
        <v>225</v>
      </c>
      <c r="K61" s="153" t="s">
        <v>417</v>
      </c>
      <c r="L61" s="6">
        <v>319</v>
      </c>
      <c r="M61" s="193">
        <v>5000</v>
      </c>
      <c r="N61" s="6">
        <v>341</v>
      </c>
      <c r="O61" s="153" t="s">
        <v>417</v>
      </c>
      <c r="P61" s="6">
        <v>721</v>
      </c>
      <c r="Q61" s="193">
        <v>5000</v>
      </c>
      <c r="R61" s="179">
        <v>432</v>
      </c>
      <c r="S61" s="153" t="s">
        <v>417</v>
      </c>
      <c r="T61" s="153">
        <v>1042</v>
      </c>
      <c r="U61" s="172">
        <v>5000</v>
      </c>
      <c r="V61" s="153">
        <v>574</v>
      </c>
      <c r="W61" s="153" t="s">
        <v>449</v>
      </c>
      <c r="X61" s="153">
        <v>1486</v>
      </c>
      <c r="Y61" s="172">
        <v>5000</v>
      </c>
      <c r="Z61" s="5"/>
      <c r="AA61" s="5"/>
    </row>
    <row r="62" spans="1:27" s="1" customFormat="1" ht="60" x14ac:dyDescent="0.25">
      <c r="A62" s="182">
        <v>117</v>
      </c>
      <c r="B62" s="158" t="s">
        <v>517</v>
      </c>
      <c r="C62" s="17" t="s">
        <v>583</v>
      </c>
      <c r="D62" s="53" t="s">
        <v>515</v>
      </c>
      <c r="E62" s="5" t="s">
        <v>33</v>
      </c>
      <c r="F62" s="5">
        <v>2634069743</v>
      </c>
      <c r="G62" s="5"/>
      <c r="H62" s="79">
        <v>2</v>
      </c>
      <c r="I62" s="183"/>
      <c r="J62" s="222"/>
      <c r="K62" s="75"/>
      <c r="L62" s="75"/>
      <c r="M62" s="223"/>
      <c r="N62" s="75"/>
      <c r="O62" s="75"/>
      <c r="P62" s="75"/>
      <c r="Q62" s="75"/>
      <c r="R62" s="179">
        <v>421</v>
      </c>
      <c r="S62" s="153" t="s">
        <v>439</v>
      </c>
      <c r="T62" s="153">
        <v>1013</v>
      </c>
      <c r="U62" s="172">
        <v>2400</v>
      </c>
      <c r="V62" s="179">
        <v>561</v>
      </c>
      <c r="W62" s="153" t="s">
        <v>417</v>
      </c>
      <c r="X62" s="153">
        <v>1467</v>
      </c>
      <c r="Y62" s="172">
        <v>2400</v>
      </c>
      <c r="Z62" s="5"/>
      <c r="AA62" s="5"/>
    </row>
    <row r="63" spans="1:27" s="1" customFormat="1" ht="60" x14ac:dyDescent="0.25">
      <c r="A63" s="182">
        <v>57</v>
      </c>
      <c r="B63" s="158" t="s">
        <v>140</v>
      </c>
      <c r="C63" s="17" t="s">
        <v>538</v>
      </c>
      <c r="D63" s="221" t="s">
        <v>141</v>
      </c>
      <c r="E63" s="75" t="s">
        <v>33</v>
      </c>
      <c r="F63" s="5">
        <v>2634079300</v>
      </c>
      <c r="G63" s="5"/>
      <c r="H63" s="5">
        <v>2</v>
      </c>
      <c r="I63" s="183"/>
      <c r="J63" s="179">
        <v>200</v>
      </c>
      <c r="K63" s="153" t="s">
        <v>417</v>
      </c>
      <c r="L63" s="153">
        <v>222</v>
      </c>
      <c r="M63" s="172">
        <v>2400</v>
      </c>
      <c r="N63" s="179">
        <v>352</v>
      </c>
      <c r="O63" s="153" t="s">
        <v>417</v>
      </c>
      <c r="P63" s="153">
        <v>735</v>
      </c>
      <c r="Q63" s="172">
        <v>2400</v>
      </c>
      <c r="R63" s="179">
        <v>480</v>
      </c>
      <c r="S63" s="153" t="s">
        <v>596</v>
      </c>
      <c r="T63" s="153">
        <v>1176</v>
      </c>
      <c r="U63" s="172">
        <v>2400</v>
      </c>
      <c r="V63" s="179">
        <v>626</v>
      </c>
      <c r="W63" s="153" t="s">
        <v>417</v>
      </c>
      <c r="X63" s="153">
        <v>23</v>
      </c>
      <c r="Y63" s="172">
        <v>2400</v>
      </c>
      <c r="Z63" s="5"/>
      <c r="AA63" s="5"/>
    </row>
    <row r="64" spans="1:27" s="1" customFormat="1" ht="90" x14ac:dyDescent="0.25">
      <c r="A64" s="182">
        <v>94</v>
      </c>
      <c r="B64" s="17" t="s">
        <v>432</v>
      </c>
      <c r="C64" s="17" t="s">
        <v>433</v>
      </c>
      <c r="D64" s="41" t="s">
        <v>434</v>
      </c>
      <c r="E64" s="5" t="s">
        <v>33</v>
      </c>
      <c r="F64" s="5">
        <v>2636044215</v>
      </c>
      <c r="G64" s="5"/>
      <c r="H64" s="5"/>
      <c r="I64" s="183">
        <v>3</v>
      </c>
      <c r="J64" s="179">
        <v>266</v>
      </c>
      <c r="K64" s="153" t="s">
        <v>417</v>
      </c>
      <c r="L64" s="153">
        <v>399</v>
      </c>
      <c r="M64" s="172">
        <v>3600</v>
      </c>
      <c r="N64" s="179">
        <v>373</v>
      </c>
      <c r="O64" s="153" t="s">
        <v>417</v>
      </c>
      <c r="P64" s="153">
        <v>765</v>
      </c>
      <c r="Q64" s="172">
        <v>3600</v>
      </c>
      <c r="R64" s="143"/>
      <c r="S64" s="143"/>
      <c r="T64" s="143"/>
      <c r="U64" s="143"/>
      <c r="V64" s="153">
        <v>576</v>
      </c>
      <c r="W64" s="153" t="s">
        <v>417</v>
      </c>
      <c r="X64" s="153">
        <v>1548</v>
      </c>
      <c r="Y64" s="172">
        <v>7200</v>
      </c>
      <c r="Z64" s="5"/>
      <c r="AA64" s="5"/>
    </row>
    <row r="65" spans="1:27" s="1" customFormat="1" ht="90" x14ac:dyDescent="0.25">
      <c r="A65" s="182">
        <v>96</v>
      </c>
      <c r="B65" s="17" t="s">
        <v>244</v>
      </c>
      <c r="C65" s="17" t="s">
        <v>245</v>
      </c>
      <c r="D65" s="93" t="s">
        <v>621</v>
      </c>
      <c r="E65" s="5" t="s">
        <v>33</v>
      </c>
      <c r="F65" s="5">
        <v>2634051753</v>
      </c>
      <c r="G65" s="5">
        <v>5</v>
      </c>
      <c r="H65" s="5"/>
      <c r="I65" s="183">
        <v>10</v>
      </c>
      <c r="J65" s="153">
        <v>199</v>
      </c>
      <c r="K65" s="153" t="s">
        <v>417</v>
      </c>
      <c r="L65" s="153">
        <v>220</v>
      </c>
      <c r="M65" s="153">
        <v>6000</v>
      </c>
      <c r="N65" s="153">
        <v>374</v>
      </c>
      <c r="O65" s="153" t="s">
        <v>449</v>
      </c>
      <c r="P65" s="153">
        <v>766</v>
      </c>
      <c r="Q65" s="172">
        <v>8400</v>
      </c>
      <c r="R65" s="179">
        <v>439</v>
      </c>
      <c r="S65" s="176" t="s">
        <v>435</v>
      </c>
      <c r="T65" s="153">
        <v>1079</v>
      </c>
      <c r="U65" s="172">
        <v>9600</v>
      </c>
      <c r="V65" s="153">
        <v>547</v>
      </c>
      <c r="W65" s="153" t="s">
        <v>416</v>
      </c>
      <c r="X65" s="153">
        <v>1429</v>
      </c>
      <c r="Y65" s="172">
        <v>12000</v>
      </c>
      <c r="Z65" s="5"/>
      <c r="AA65" s="5"/>
    </row>
    <row r="66" spans="1:27" s="1" customFormat="1" ht="60" x14ac:dyDescent="0.25">
      <c r="A66" s="182">
        <v>98</v>
      </c>
      <c r="B66" s="17" t="s">
        <v>446</v>
      </c>
      <c r="C66" s="17" t="s">
        <v>447</v>
      </c>
      <c r="D66" s="201" t="s">
        <v>448</v>
      </c>
      <c r="E66" s="5" t="s">
        <v>33</v>
      </c>
      <c r="F66" s="5">
        <v>2636032629</v>
      </c>
      <c r="G66" s="5"/>
      <c r="H66" s="5">
        <v>2</v>
      </c>
      <c r="I66" s="183"/>
      <c r="J66" s="179">
        <v>278</v>
      </c>
      <c r="K66" s="153" t="s">
        <v>417</v>
      </c>
      <c r="L66" s="153">
        <v>443</v>
      </c>
      <c r="M66" s="172">
        <v>2400</v>
      </c>
      <c r="N66" s="179">
        <v>360</v>
      </c>
      <c r="O66" s="153" t="s">
        <v>417</v>
      </c>
      <c r="P66" s="153">
        <v>747</v>
      </c>
      <c r="Q66" s="172">
        <v>2400</v>
      </c>
      <c r="R66" s="179">
        <v>465</v>
      </c>
      <c r="S66" s="153" t="s">
        <v>417</v>
      </c>
      <c r="T66" s="153">
        <v>1155</v>
      </c>
      <c r="U66" s="172">
        <v>2400</v>
      </c>
      <c r="V66" s="153">
        <v>627</v>
      </c>
      <c r="W66" s="153" t="s">
        <v>417</v>
      </c>
      <c r="X66" s="153">
        <v>1584</v>
      </c>
      <c r="Y66" s="172">
        <v>2400</v>
      </c>
      <c r="Z66" s="5"/>
      <c r="AA66" s="5"/>
    </row>
    <row r="67" spans="1:27" s="1" customFormat="1" ht="90" x14ac:dyDescent="0.25">
      <c r="A67" s="182">
        <v>99</v>
      </c>
      <c r="B67" s="17" t="s">
        <v>451</v>
      </c>
      <c r="C67" s="17" t="s">
        <v>569</v>
      </c>
      <c r="D67" s="41" t="s">
        <v>452</v>
      </c>
      <c r="E67" s="5" t="s">
        <v>33</v>
      </c>
      <c r="F67" s="5">
        <v>2621800525</v>
      </c>
      <c r="G67" s="5"/>
      <c r="H67" s="5">
        <v>1</v>
      </c>
      <c r="I67" s="183"/>
      <c r="J67" s="179">
        <v>289</v>
      </c>
      <c r="K67" s="153" t="s">
        <v>416</v>
      </c>
      <c r="L67" s="153">
        <v>498</v>
      </c>
      <c r="M67" s="172">
        <v>1200</v>
      </c>
      <c r="N67" s="179">
        <v>407</v>
      </c>
      <c r="O67" s="153" t="s">
        <v>417</v>
      </c>
      <c r="P67" s="153">
        <v>904</v>
      </c>
      <c r="Q67" s="172">
        <v>1200</v>
      </c>
      <c r="R67" s="179">
        <v>533</v>
      </c>
      <c r="S67" s="153" t="s">
        <v>417</v>
      </c>
      <c r="T67" s="153">
        <v>1339</v>
      </c>
      <c r="U67" s="172">
        <v>1200</v>
      </c>
      <c r="V67" s="153">
        <v>670</v>
      </c>
      <c r="W67" s="153" t="s">
        <v>417</v>
      </c>
      <c r="X67" s="153">
        <v>217</v>
      </c>
      <c r="Y67" s="172">
        <v>1200</v>
      </c>
      <c r="Z67" s="5"/>
      <c r="AA67" s="5"/>
    </row>
    <row r="68" spans="1:27" s="1" customFormat="1" ht="145.5" customHeight="1" x14ac:dyDescent="0.25">
      <c r="A68" s="182">
        <v>103</v>
      </c>
      <c r="B68" s="32" t="s">
        <v>227</v>
      </c>
      <c r="C68" s="32" t="s">
        <v>228</v>
      </c>
      <c r="D68" s="93" t="s">
        <v>649</v>
      </c>
      <c r="E68" s="5" t="s">
        <v>33</v>
      </c>
      <c r="F68" s="3">
        <v>2633001686</v>
      </c>
      <c r="G68" s="5"/>
      <c r="H68" s="5"/>
      <c r="I68" s="183">
        <v>21</v>
      </c>
      <c r="J68" s="179">
        <v>290</v>
      </c>
      <c r="K68" s="153" t="s">
        <v>416</v>
      </c>
      <c r="L68" s="153">
        <v>497</v>
      </c>
      <c r="M68" s="172">
        <v>25200</v>
      </c>
      <c r="N68" s="179">
        <v>315</v>
      </c>
      <c r="O68" s="153" t="s">
        <v>417</v>
      </c>
      <c r="P68" s="153">
        <v>649</v>
      </c>
      <c r="Q68" s="172">
        <v>25200</v>
      </c>
      <c r="R68" s="179">
        <v>440</v>
      </c>
      <c r="S68" s="153" t="s">
        <v>417</v>
      </c>
      <c r="T68" s="153">
        <v>1080</v>
      </c>
      <c r="U68" s="172">
        <v>25200</v>
      </c>
      <c r="V68" s="179">
        <v>566</v>
      </c>
      <c r="W68" s="153" t="s">
        <v>417</v>
      </c>
      <c r="X68" s="153">
        <v>1576</v>
      </c>
      <c r="Y68" s="172">
        <v>25200</v>
      </c>
      <c r="Z68" s="5"/>
      <c r="AA68" s="5"/>
    </row>
    <row r="69" spans="1:27" s="1" customFormat="1" ht="60" x14ac:dyDescent="0.25">
      <c r="A69" s="182">
        <v>105</v>
      </c>
      <c r="B69" s="32" t="s">
        <v>160</v>
      </c>
      <c r="C69" s="32" t="s">
        <v>162</v>
      </c>
      <c r="D69" s="93" t="s">
        <v>578</v>
      </c>
      <c r="E69" s="3" t="s">
        <v>33</v>
      </c>
      <c r="F69" s="3">
        <v>2633002873</v>
      </c>
      <c r="G69" s="5"/>
      <c r="H69" s="5"/>
      <c r="I69" s="183">
        <v>22</v>
      </c>
      <c r="J69" s="179">
        <v>220</v>
      </c>
      <c r="K69" s="143" t="s">
        <v>462</v>
      </c>
      <c r="L69" s="153">
        <v>298</v>
      </c>
      <c r="M69" s="172">
        <v>21600</v>
      </c>
      <c r="N69" s="179">
        <v>324</v>
      </c>
      <c r="O69" s="153" t="s">
        <v>528</v>
      </c>
      <c r="P69" s="153">
        <v>668</v>
      </c>
      <c r="Q69" s="172">
        <v>24000</v>
      </c>
      <c r="R69" s="179">
        <v>441</v>
      </c>
      <c r="S69" s="153" t="s">
        <v>591</v>
      </c>
      <c r="T69" s="153">
        <v>1081</v>
      </c>
      <c r="U69" s="172">
        <v>26400</v>
      </c>
      <c r="V69" s="179">
        <v>581</v>
      </c>
      <c r="W69" s="153" t="s">
        <v>417</v>
      </c>
      <c r="X69" s="153">
        <v>1505</v>
      </c>
      <c r="Y69" s="172">
        <v>26400</v>
      </c>
      <c r="Z69" s="5"/>
      <c r="AA69" s="5"/>
    </row>
    <row r="70" spans="1:27" s="1" customFormat="1" ht="105" x14ac:dyDescent="0.25">
      <c r="A70" s="182">
        <v>109</v>
      </c>
      <c r="B70" s="32" t="s">
        <v>549</v>
      </c>
      <c r="C70" s="32" t="s">
        <v>246</v>
      </c>
      <c r="D70" s="138" t="s">
        <v>550</v>
      </c>
      <c r="E70" s="3" t="s">
        <v>33</v>
      </c>
      <c r="F70" s="3">
        <v>2633001140</v>
      </c>
      <c r="G70" s="5"/>
      <c r="H70" s="5"/>
      <c r="I70" s="183">
        <v>2</v>
      </c>
      <c r="J70" s="179">
        <v>265</v>
      </c>
      <c r="K70" s="153" t="s">
        <v>416</v>
      </c>
      <c r="L70" s="153">
        <v>431</v>
      </c>
      <c r="M70" s="172">
        <v>6000</v>
      </c>
      <c r="N70" s="179">
        <v>391</v>
      </c>
      <c r="O70" s="153" t="s">
        <v>449</v>
      </c>
      <c r="P70" s="153">
        <v>831</v>
      </c>
      <c r="Q70" s="172">
        <v>4800</v>
      </c>
      <c r="R70" s="179">
        <v>530</v>
      </c>
      <c r="S70" s="153" t="s">
        <v>476</v>
      </c>
      <c r="T70" s="153">
        <v>1328</v>
      </c>
      <c r="U70" s="172">
        <v>2400</v>
      </c>
      <c r="V70" s="179">
        <v>568</v>
      </c>
      <c r="W70" s="153" t="s">
        <v>417</v>
      </c>
      <c r="X70" s="153">
        <v>1480</v>
      </c>
      <c r="Y70" s="172">
        <v>2400</v>
      </c>
      <c r="Z70" s="5"/>
      <c r="AA70" s="5"/>
    </row>
    <row r="71" spans="1:27" s="1" customFormat="1" ht="60" x14ac:dyDescent="0.25">
      <c r="A71" s="182">
        <v>119</v>
      </c>
      <c r="B71" s="32" t="s">
        <v>529</v>
      </c>
      <c r="C71" s="32" t="s">
        <v>530</v>
      </c>
      <c r="D71" s="93" t="s">
        <v>531</v>
      </c>
      <c r="E71" s="3" t="s">
        <v>33</v>
      </c>
      <c r="F71" s="3">
        <v>2635104983</v>
      </c>
      <c r="G71" s="5"/>
      <c r="H71" s="5">
        <v>1</v>
      </c>
      <c r="I71" s="183"/>
      <c r="J71" s="177"/>
      <c r="K71" s="142"/>
      <c r="L71" s="142"/>
      <c r="M71" s="173"/>
      <c r="N71" s="144"/>
      <c r="O71" s="142"/>
      <c r="P71" s="144"/>
      <c r="Q71" s="144"/>
      <c r="R71" s="144"/>
      <c r="S71" s="153" t="s">
        <v>439</v>
      </c>
      <c r="T71" s="144"/>
      <c r="U71" s="144"/>
      <c r="V71" s="142"/>
      <c r="W71" s="75"/>
      <c r="X71" s="75"/>
      <c r="Y71" s="75"/>
      <c r="Z71" s="5"/>
      <c r="AA71" s="5"/>
    </row>
    <row r="72" spans="1:27" s="1" customFormat="1" ht="60" x14ac:dyDescent="0.25">
      <c r="A72" s="182">
        <v>123</v>
      </c>
      <c r="B72" s="32" t="s">
        <v>556</v>
      </c>
      <c r="C72" s="32" t="s">
        <v>558</v>
      </c>
      <c r="D72" s="93" t="s">
        <v>557</v>
      </c>
      <c r="E72" s="3" t="s">
        <v>33</v>
      </c>
      <c r="F72" s="3">
        <v>2635219920</v>
      </c>
      <c r="G72" s="5"/>
      <c r="H72" s="5">
        <v>1</v>
      </c>
      <c r="I72" s="183"/>
      <c r="J72" s="177"/>
      <c r="K72" s="142"/>
      <c r="L72" s="142"/>
      <c r="M72" s="173"/>
      <c r="N72" s="206" t="s">
        <v>559</v>
      </c>
      <c r="O72" s="153" t="s">
        <v>435</v>
      </c>
      <c r="P72" s="153">
        <v>845</v>
      </c>
      <c r="Q72" s="153">
        <v>2400</v>
      </c>
      <c r="R72" s="153"/>
      <c r="S72" s="153" t="s">
        <v>439</v>
      </c>
      <c r="T72" s="144"/>
      <c r="U72" s="144"/>
      <c r="V72" s="142"/>
      <c r="W72" s="75"/>
      <c r="X72" s="75"/>
      <c r="Y72" s="75"/>
      <c r="Z72" s="5"/>
      <c r="AA72" s="5"/>
    </row>
    <row r="73" spans="1:27" s="1" customFormat="1" ht="60" x14ac:dyDescent="0.25">
      <c r="A73" s="182">
        <v>127</v>
      </c>
      <c r="B73" s="32" t="s">
        <v>570</v>
      </c>
      <c r="C73" s="32" t="s">
        <v>572</v>
      </c>
      <c r="D73" s="93" t="s">
        <v>571</v>
      </c>
      <c r="E73" s="3" t="s">
        <v>33</v>
      </c>
      <c r="F73" s="3">
        <v>2633003010</v>
      </c>
      <c r="G73" s="5"/>
      <c r="H73" s="5">
        <v>8</v>
      </c>
      <c r="I73" s="183"/>
      <c r="J73" s="177"/>
      <c r="K73" s="142"/>
      <c r="L73" s="142"/>
      <c r="M73" s="173"/>
      <c r="N73" s="153">
        <v>412</v>
      </c>
      <c r="O73" s="153" t="s">
        <v>573</v>
      </c>
      <c r="P73" s="153">
        <v>930</v>
      </c>
      <c r="Q73" s="172">
        <v>7200</v>
      </c>
      <c r="R73" s="153">
        <v>501</v>
      </c>
      <c r="S73" s="153" t="s">
        <v>417</v>
      </c>
      <c r="T73" s="153">
        <v>1222</v>
      </c>
      <c r="U73" s="172">
        <v>9600</v>
      </c>
      <c r="V73" s="153">
        <v>550</v>
      </c>
      <c r="W73" s="153" t="s">
        <v>417</v>
      </c>
      <c r="X73" s="153">
        <v>1432</v>
      </c>
      <c r="Y73" s="172">
        <v>9600</v>
      </c>
      <c r="Z73" s="5"/>
      <c r="AA73" s="5"/>
    </row>
    <row r="74" spans="1:27" s="1" customFormat="1" ht="75" x14ac:dyDescent="0.25">
      <c r="A74" s="182">
        <v>130</v>
      </c>
      <c r="B74" s="32" t="s">
        <v>588</v>
      </c>
      <c r="C74" s="32" t="s">
        <v>589</v>
      </c>
      <c r="D74" s="221" t="s">
        <v>590</v>
      </c>
      <c r="E74" s="3" t="s">
        <v>33</v>
      </c>
      <c r="F74" s="3">
        <v>2634102849</v>
      </c>
      <c r="G74" s="5"/>
      <c r="H74" s="5">
        <v>3</v>
      </c>
      <c r="I74" s="183"/>
      <c r="J74" s="177"/>
      <c r="K74" s="142"/>
      <c r="L74" s="142"/>
      <c r="M74" s="173"/>
      <c r="N74" s="142"/>
      <c r="O74" s="142"/>
      <c r="P74" s="142"/>
      <c r="Q74" s="173"/>
      <c r="R74" s="142"/>
      <c r="S74" s="142"/>
      <c r="T74" s="144"/>
      <c r="U74" s="144"/>
      <c r="V74" s="179">
        <v>619</v>
      </c>
      <c r="W74" s="153" t="s">
        <v>435</v>
      </c>
      <c r="X74" s="153">
        <v>10</v>
      </c>
      <c r="Y74" s="172">
        <v>3600</v>
      </c>
      <c r="Z74" s="5"/>
      <c r="AA74" s="5"/>
    </row>
    <row r="75" spans="1:27" s="1" customFormat="1" ht="56.25" customHeight="1" x14ac:dyDescent="0.25">
      <c r="A75" s="182">
        <v>131</v>
      </c>
      <c r="B75" s="32" t="s">
        <v>602</v>
      </c>
      <c r="C75" s="46" t="s">
        <v>604</v>
      </c>
      <c r="D75" s="101" t="s">
        <v>603</v>
      </c>
      <c r="E75" s="3" t="s">
        <v>33</v>
      </c>
      <c r="F75" s="3">
        <v>2633001647</v>
      </c>
      <c r="G75" s="5"/>
      <c r="H75" s="5"/>
      <c r="I75" s="183">
        <v>2</v>
      </c>
      <c r="J75" s="177"/>
      <c r="K75" s="142"/>
      <c r="L75" s="142"/>
      <c r="M75" s="173"/>
      <c r="N75" s="142"/>
      <c r="O75" s="142"/>
      <c r="P75" s="142"/>
      <c r="Q75" s="173"/>
      <c r="R75" s="142"/>
      <c r="S75" s="142"/>
      <c r="T75" s="144"/>
      <c r="U75" s="144"/>
      <c r="V75" s="142"/>
      <c r="W75" s="143" t="s">
        <v>439</v>
      </c>
      <c r="X75" s="75"/>
      <c r="Y75" s="75"/>
      <c r="Z75" s="5"/>
      <c r="AA75" s="5"/>
    </row>
    <row r="76" spans="1:27" s="1" customFormat="1" ht="75" x14ac:dyDescent="0.25">
      <c r="A76" s="182">
        <v>58</v>
      </c>
      <c r="B76" s="160" t="s">
        <v>340</v>
      </c>
      <c r="C76" s="139" t="s">
        <v>341</v>
      </c>
      <c r="D76" s="93" t="s">
        <v>342</v>
      </c>
      <c r="E76" s="5" t="s">
        <v>33</v>
      </c>
      <c r="F76" s="5">
        <v>2614018081</v>
      </c>
      <c r="G76" s="5"/>
      <c r="H76" s="5">
        <v>1</v>
      </c>
      <c r="I76" s="183"/>
      <c r="J76" s="179">
        <v>288</v>
      </c>
      <c r="K76" s="153" t="s">
        <v>417</v>
      </c>
      <c r="L76" s="153">
        <v>483</v>
      </c>
      <c r="M76" s="172">
        <v>1200</v>
      </c>
      <c r="N76" s="153">
        <v>427</v>
      </c>
      <c r="O76" s="153" t="s">
        <v>417</v>
      </c>
      <c r="P76" s="153">
        <v>1031</v>
      </c>
      <c r="Q76" s="172">
        <v>1200</v>
      </c>
      <c r="R76" s="153">
        <v>534</v>
      </c>
      <c r="S76" s="153" t="s">
        <v>417</v>
      </c>
      <c r="T76" s="153">
        <v>1340</v>
      </c>
      <c r="U76" s="172">
        <v>1200</v>
      </c>
      <c r="V76" s="153">
        <v>591</v>
      </c>
      <c r="W76" s="153" t="s">
        <v>596</v>
      </c>
      <c r="X76" s="206">
        <v>1527</v>
      </c>
      <c r="Y76" s="172">
        <v>1200</v>
      </c>
      <c r="Z76" s="5"/>
      <c r="AA76" s="5"/>
    </row>
    <row r="77" spans="1:27" s="1" customFormat="1" ht="75" x14ac:dyDescent="0.25">
      <c r="A77" s="182">
        <v>59</v>
      </c>
      <c r="B77" s="160" t="s">
        <v>383</v>
      </c>
      <c r="C77" s="139" t="s">
        <v>605</v>
      </c>
      <c r="D77" s="93" t="s">
        <v>430</v>
      </c>
      <c r="E77" s="5" t="s">
        <v>33</v>
      </c>
      <c r="F77" s="5">
        <v>2602004461</v>
      </c>
      <c r="G77" s="151"/>
      <c r="H77" s="78"/>
      <c r="I77" s="184">
        <v>8</v>
      </c>
      <c r="J77" s="179">
        <v>271</v>
      </c>
      <c r="K77" s="153" t="s">
        <v>416</v>
      </c>
      <c r="L77" s="206" t="s">
        <v>485</v>
      </c>
      <c r="M77" s="172">
        <v>12000</v>
      </c>
      <c r="N77" s="153">
        <v>408</v>
      </c>
      <c r="O77" s="153" t="s">
        <v>417</v>
      </c>
      <c r="P77" s="153" t="s">
        <v>568</v>
      </c>
      <c r="Q77" s="172">
        <v>12000</v>
      </c>
      <c r="R77" s="153">
        <v>502</v>
      </c>
      <c r="S77" s="153" t="s">
        <v>417</v>
      </c>
      <c r="T77" s="206" t="s">
        <v>601</v>
      </c>
      <c r="U77" s="172">
        <v>10800</v>
      </c>
      <c r="V77" s="153">
        <v>563</v>
      </c>
      <c r="W77" s="153" t="s">
        <v>629</v>
      </c>
      <c r="X77" s="206" t="s">
        <v>630</v>
      </c>
      <c r="Y77" s="172">
        <v>12000</v>
      </c>
      <c r="Z77" s="5"/>
      <c r="AA77" s="5"/>
    </row>
    <row r="78" spans="1:27" s="1" customFormat="1" ht="60" x14ac:dyDescent="0.25">
      <c r="A78" s="182">
        <v>60</v>
      </c>
      <c r="B78" s="160" t="s">
        <v>307</v>
      </c>
      <c r="C78" s="139" t="s">
        <v>308</v>
      </c>
      <c r="D78" s="93" t="s">
        <v>504</v>
      </c>
      <c r="E78" s="5" t="s">
        <v>33</v>
      </c>
      <c r="F78" s="5">
        <v>2604000303</v>
      </c>
      <c r="G78" s="5"/>
      <c r="H78" s="79">
        <v>7</v>
      </c>
      <c r="I78" s="183"/>
      <c r="J78" s="179">
        <v>301</v>
      </c>
      <c r="K78" s="153" t="s">
        <v>417</v>
      </c>
      <c r="L78" s="153">
        <v>550</v>
      </c>
      <c r="M78" s="172">
        <v>8400</v>
      </c>
      <c r="N78" s="153">
        <v>372</v>
      </c>
      <c r="O78" s="153" t="s">
        <v>417</v>
      </c>
      <c r="P78" s="153">
        <v>763</v>
      </c>
      <c r="Q78" s="172">
        <v>8400</v>
      </c>
      <c r="R78" s="153">
        <v>493</v>
      </c>
      <c r="S78" s="153" t="s">
        <v>417</v>
      </c>
      <c r="T78" s="153">
        <v>1197</v>
      </c>
      <c r="U78" s="172">
        <v>8400</v>
      </c>
      <c r="V78" s="153">
        <v>607</v>
      </c>
      <c r="W78" s="153" t="s">
        <v>417</v>
      </c>
      <c r="X78" s="206">
        <v>1571</v>
      </c>
      <c r="Y78" s="172">
        <v>8400</v>
      </c>
      <c r="Z78" s="5"/>
      <c r="AA78" s="5"/>
    </row>
    <row r="79" spans="1:27" s="1" customFormat="1" ht="75" x14ac:dyDescent="0.25">
      <c r="A79" s="182">
        <v>61</v>
      </c>
      <c r="B79" s="160" t="s">
        <v>393</v>
      </c>
      <c r="C79" s="139" t="s">
        <v>703</v>
      </c>
      <c r="D79" s="93" t="s">
        <v>395</v>
      </c>
      <c r="E79" s="5" t="s">
        <v>33</v>
      </c>
      <c r="F79" s="5">
        <v>2606007110</v>
      </c>
      <c r="G79" s="79"/>
      <c r="H79" s="78"/>
      <c r="I79" s="184">
        <v>10</v>
      </c>
      <c r="J79" s="179">
        <v>203</v>
      </c>
      <c r="K79" s="153" t="s">
        <v>417</v>
      </c>
      <c r="L79" s="153">
        <v>235</v>
      </c>
      <c r="M79" s="172">
        <v>10800</v>
      </c>
      <c r="N79" s="153">
        <v>348</v>
      </c>
      <c r="O79" s="153" t="s">
        <v>417</v>
      </c>
      <c r="P79" s="153">
        <v>371</v>
      </c>
      <c r="Q79" s="172">
        <v>10800</v>
      </c>
      <c r="R79" s="153">
        <v>476</v>
      </c>
      <c r="S79" s="153" t="s">
        <v>416</v>
      </c>
      <c r="T79" s="153">
        <v>1157</v>
      </c>
      <c r="U79" s="172">
        <v>10800</v>
      </c>
      <c r="V79" s="153">
        <v>665</v>
      </c>
      <c r="W79" s="153" t="s">
        <v>476</v>
      </c>
      <c r="X79" s="153">
        <v>336</v>
      </c>
      <c r="Y79" s="172">
        <v>12000</v>
      </c>
      <c r="Z79" s="5"/>
      <c r="AA79" s="5"/>
    </row>
    <row r="80" spans="1:27" s="1" customFormat="1" ht="75" x14ac:dyDescent="0.25">
      <c r="A80" s="182">
        <v>62</v>
      </c>
      <c r="B80" s="160" t="s">
        <v>298</v>
      </c>
      <c r="C80" s="139" t="s">
        <v>300</v>
      </c>
      <c r="D80" s="93" t="s">
        <v>313</v>
      </c>
      <c r="E80" s="5" t="s">
        <v>33</v>
      </c>
      <c r="F80" s="5">
        <v>2607018281</v>
      </c>
      <c r="G80" s="75"/>
      <c r="H80" s="5">
        <v>2</v>
      </c>
      <c r="I80" s="183"/>
      <c r="J80" s="179">
        <v>201</v>
      </c>
      <c r="K80" s="153" t="s">
        <v>416</v>
      </c>
      <c r="L80" s="153">
        <v>223</v>
      </c>
      <c r="M80" s="172">
        <v>2400</v>
      </c>
      <c r="N80" s="153">
        <v>313</v>
      </c>
      <c r="O80" s="153" t="s">
        <v>417</v>
      </c>
      <c r="P80" s="153">
        <v>628</v>
      </c>
      <c r="Q80" s="172">
        <v>2400</v>
      </c>
      <c r="R80" s="153">
        <v>492</v>
      </c>
      <c r="S80" s="153" t="s">
        <v>417</v>
      </c>
      <c r="T80" s="153">
        <v>1196</v>
      </c>
      <c r="U80" s="172">
        <v>2400</v>
      </c>
      <c r="V80" s="153">
        <v>590</v>
      </c>
      <c r="W80" s="153" t="s">
        <v>417</v>
      </c>
      <c r="X80" s="206">
        <v>1524</v>
      </c>
      <c r="Y80" s="172">
        <v>2400</v>
      </c>
      <c r="Z80" s="5"/>
      <c r="AA80" s="5"/>
    </row>
    <row r="81" spans="1:27" s="1" customFormat="1" ht="60" x14ac:dyDescent="0.25">
      <c r="A81" s="182">
        <v>63</v>
      </c>
      <c r="B81" s="160" t="s">
        <v>450</v>
      </c>
      <c r="C81" s="139" t="s">
        <v>366</v>
      </c>
      <c r="D81" s="93" t="s">
        <v>576</v>
      </c>
      <c r="E81" s="5" t="s">
        <v>33</v>
      </c>
      <c r="F81" s="5">
        <v>2608003721</v>
      </c>
      <c r="G81" s="79"/>
      <c r="H81" s="78">
        <v>17</v>
      </c>
      <c r="I81" s="183"/>
      <c r="J81" s="179">
        <v>297</v>
      </c>
      <c r="K81" s="153" t="s">
        <v>435</v>
      </c>
      <c r="L81" s="153">
        <v>515</v>
      </c>
      <c r="M81" s="172">
        <v>19200</v>
      </c>
      <c r="N81" s="153">
        <v>428</v>
      </c>
      <c r="O81" s="153" t="s">
        <v>417</v>
      </c>
      <c r="P81" s="153">
        <v>1032</v>
      </c>
      <c r="Q81" s="172">
        <v>19200</v>
      </c>
      <c r="R81" s="153">
        <v>539</v>
      </c>
      <c r="S81" s="153" t="s">
        <v>416</v>
      </c>
      <c r="T81" s="206" t="s">
        <v>617</v>
      </c>
      <c r="U81" s="172">
        <v>20400</v>
      </c>
      <c r="V81" s="153">
        <v>601</v>
      </c>
      <c r="W81" s="153" t="s">
        <v>417</v>
      </c>
      <c r="X81" s="206" t="s">
        <v>640</v>
      </c>
      <c r="Y81" s="172">
        <v>20400</v>
      </c>
      <c r="Z81" s="5"/>
      <c r="AA81" s="5"/>
    </row>
    <row r="82" spans="1:27" s="1" customFormat="1" ht="60" x14ac:dyDescent="0.25">
      <c r="A82" s="182">
        <v>64</v>
      </c>
      <c r="B82" s="160" t="s">
        <v>368</v>
      </c>
      <c r="C82" s="139" t="s">
        <v>369</v>
      </c>
      <c r="D82" s="93" t="s">
        <v>637</v>
      </c>
      <c r="E82" s="5" t="s">
        <v>33</v>
      </c>
      <c r="F82" s="5">
        <v>2611005503</v>
      </c>
      <c r="G82" s="79"/>
      <c r="H82" s="78">
        <v>9</v>
      </c>
      <c r="I82" s="183"/>
      <c r="J82" s="179">
        <v>238</v>
      </c>
      <c r="K82" s="153" t="s">
        <v>439</v>
      </c>
      <c r="L82" s="153">
        <v>342</v>
      </c>
      <c r="M82" s="172">
        <v>9600</v>
      </c>
      <c r="N82" s="153">
        <v>326</v>
      </c>
      <c r="O82" s="153" t="s">
        <v>417</v>
      </c>
      <c r="P82" s="153">
        <v>670</v>
      </c>
      <c r="Q82" s="172">
        <v>9600</v>
      </c>
      <c r="R82" s="153">
        <v>425</v>
      </c>
      <c r="S82" s="153" t="s">
        <v>417</v>
      </c>
      <c r="T82" s="153">
        <v>1027</v>
      </c>
      <c r="U82" s="172">
        <v>9600</v>
      </c>
      <c r="V82" s="153">
        <v>572</v>
      </c>
      <c r="W82" s="153" t="s">
        <v>456</v>
      </c>
      <c r="X82" s="153">
        <v>1484</v>
      </c>
      <c r="Y82" s="172">
        <v>10800</v>
      </c>
      <c r="Z82" s="5"/>
      <c r="AA82" s="5"/>
    </row>
    <row r="83" spans="1:27" s="1" customFormat="1" ht="75" x14ac:dyDescent="0.25">
      <c r="A83" s="182">
        <v>65</v>
      </c>
      <c r="B83" s="160" t="s">
        <v>191</v>
      </c>
      <c r="C83" s="139" t="s">
        <v>471</v>
      </c>
      <c r="D83" s="94" t="s">
        <v>266</v>
      </c>
      <c r="E83" s="5" t="s">
        <v>33</v>
      </c>
      <c r="F83" s="5">
        <v>2608003746</v>
      </c>
      <c r="G83" s="79"/>
      <c r="H83" s="78">
        <v>2</v>
      </c>
      <c r="I83" s="183"/>
      <c r="J83" s="179">
        <v>240</v>
      </c>
      <c r="K83" s="153" t="s">
        <v>417</v>
      </c>
      <c r="L83" s="153">
        <v>330</v>
      </c>
      <c r="M83" s="172">
        <v>2400</v>
      </c>
      <c r="N83" s="153">
        <v>375</v>
      </c>
      <c r="O83" s="153" t="s">
        <v>417</v>
      </c>
      <c r="P83" s="153">
        <v>767</v>
      </c>
      <c r="Q83" s="172">
        <v>2400</v>
      </c>
      <c r="R83" s="153">
        <v>433</v>
      </c>
      <c r="S83" s="153" t="s">
        <v>417</v>
      </c>
      <c r="T83" s="153">
        <v>1043</v>
      </c>
      <c r="U83" s="172">
        <v>2400</v>
      </c>
      <c r="V83" s="153">
        <v>565</v>
      </c>
      <c r="W83" s="153" t="s">
        <v>631</v>
      </c>
      <c r="X83" s="153">
        <v>1477</v>
      </c>
      <c r="Y83" s="172">
        <v>2400</v>
      </c>
      <c r="Z83" s="5"/>
      <c r="AA83" s="5"/>
    </row>
    <row r="84" spans="1:27" s="1" customFormat="1" ht="75" x14ac:dyDescent="0.25">
      <c r="A84" s="182">
        <v>66</v>
      </c>
      <c r="B84" s="160" t="s">
        <v>419</v>
      </c>
      <c r="C84" s="139" t="s">
        <v>422</v>
      </c>
      <c r="D84" s="93" t="s">
        <v>577</v>
      </c>
      <c r="E84" s="5" t="s">
        <v>33</v>
      </c>
      <c r="F84" s="5">
        <v>2613006870</v>
      </c>
      <c r="G84" s="79"/>
      <c r="H84" s="78"/>
      <c r="I84" s="184">
        <v>10</v>
      </c>
      <c r="J84" s="179">
        <v>302</v>
      </c>
      <c r="K84" s="153" t="s">
        <v>469</v>
      </c>
      <c r="L84" s="153">
        <v>545</v>
      </c>
      <c r="M84" s="172">
        <v>12000</v>
      </c>
      <c r="N84" s="153">
        <v>361</v>
      </c>
      <c r="O84" s="153" t="s">
        <v>417</v>
      </c>
      <c r="P84" s="153">
        <v>748</v>
      </c>
      <c r="Q84" s="172">
        <v>12000</v>
      </c>
      <c r="R84" s="153">
        <v>455</v>
      </c>
      <c r="S84" s="143" t="s">
        <v>594</v>
      </c>
      <c r="T84" s="153">
        <v>1111</v>
      </c>
      <c r="U84" s="172">
        <v>12000</v>
      </c>
      <c r="V84" s="179">
        <v>595</v>
      </c>
      <c r="W84" s="153" t="s">
        <v>417</v>
      </c>
      <c r="X84" s="153">
        <v>1553</v>
      </c>
      <c r="Y84" s="172">
        <v>12000</v>
      </c>
      <c r="Z84" s="5"/>
      <c r="AA84" s="5"/>
    </row>
    <row r="85" spans="1:27" s="1" customFormat="1" ht="45" x14ac:dyDescent="0.25">
      <c r="A85" s="182">
        <v>67</v>
      </c>
      <c r="B85" s="161" t="s">
        <v>304</v>
      </c>
      <c r="C85" s="139" t="s">
        <v>305</v>
      </c>
      <c r="D85" s="93" t="s">
        <v>306</v>
      </c>
      <c r="E85" s="5" t="s">
        <v>33</v>
      </c>
      <c r="F85" s="75">
        <v>2619009274</v>
      </c>
      <c r="G85" s="5"/>
      <c r="H85" s="5">
        <v>11</v>
      </c>
      <c r="I85" s="183"/>
      <c r="J85" s="179">
        <v>260</v>
      </c>
      <c r="K85" s="153" t="s">
        <v>417</v>
      </c>
      <c r="L85" s="153">
        <v>375</v>
      </c>
      <c r="M85" s="172">
        <v>14400</v>
      </c>
      <c r="N85" s="153">
        <v>382</v>
      </c>
      <c r="O85" s="143" t="s">
        <v>417</v>
      </c>
      <c r="P85" s="153">
        <v>792</v>
      </c>
      <c r="Q85" s="172">
        <v>14400</v>
      </c>
      <c r="R85" s="153">
        <v>489</v>
      </c>
      <c r="S85" s="153" t="s">
        <v>417</v>
      </c>
      <c r="T85" s="153">
        <v>1189</v>
      </c>
      <c r="U85" s="172">
        <v>14400</v>
      </c>
      <c r="V85" s="153">
        <v>586</v>
      </c>
      <c r="W85" s="153" t="s">
        <v>476</v>
      </c>
      <c r="X85" s="153">
        <v>1520</v>
      </c>
      <c r="Y85" s="172">
        <v>14400</v>
      </c>
      <c r="Z85" s="5"/>
      <c r="AA85" s="5"/>
    </row>
    <row r="86" spans="1:27" s="1" customFormat="1" ht="60" x14ac:dyDescent="0.25">
      <c r="A86" s="182">
        <v>68</v>
      </c>
      <c r="B86" s="160" t="s">
        <v>350</v>
      </c>
      <c r="C86" s="139" t="s">
        <v>353</v>
      </c>
      <c r="D86" s="221" t="s">
        <v>352</v>
      </c>
      <c r="E86" s="5" t="s">
        <v>33</v>
      </c>
      <c r="F86" s="5">
        <v>2617012810</v>
      </c>
      <c r="G86" s="5"/>
      <c r="H86" s="5">
        <v>2</v>
      </c>
      <c r="I86" s="183"/>
      <c r="J86" s="179">
        <v>249</v>
      </c>
      <c r="K86" s="143" t="s">
        <v>417</v>
      </c>
      <c r="L86" s="153">
        <v>347</v>
      </c>
      <c r="M86" s="172">
        <v>2400</v>
      </c>
      <c r="N86" s="153">
        <v>334</v>
      </c>
      <c r="O86" s="153" t="s">
        <v>417</v>
      </c>
      <c r="P86" s="153">
        <v>710</v>
      </c>
      <c r="Q86" s="172">
        <v>2400</v>
      </c>
      <c r="R86" s="153">
        <v>487</v>
      </c>
      <c r="S86" s="153" t="s">
        <v>417</v>
      </c>
      <c r="T86" s="153">
        <v>1187</v>
      </c>
      <c r="U86" s="172">
        <v>2400</v>
      </c>
      <c r="V86" s="153">
        <v>615</v>
      </c>
      <c r="W86" s="153" t="s">
        <v>417</v>
      </c>
      <c r="X86" s="153">
        <v>6</v>
      </c>
      <c r="Y86" s="172">
        <v>2400</v>
      </c>
      <c r="Z86" s="5"/>
      <c r="AA86" s="5"/>
    </row>
    <row r="87" spans="1:27" s="1" customFormat="1" ht="75" x14ac:dyDescent="0.25">
      <c r="A87" s="182">
        <v>69</v>
      </c>
      <c r="B87" s="160" t="s">
        <v>358</v>
      </c>
      <c r="C87" s="139" t="s">
        <v>540</v>
      </c>
      <c r="D87" s="221" t="s">
        <v>360</v>
      </c>
      <c r="E87" s="5" t="s">
        <v>33</v>
      </c>
      <c r="F87" s="5">
        <v>2607011977</v>
      </c>
      <c r="G87" s="79"/>
      <c r="H87" s="78">
        <v>2</v>
      </c>
      <c r="I87" s="183"/>
      <c r="J87" s="179">
        <v>263</v>
      </c>
      <c r="K87" s="153" t="s">
        <v>417</v>
      </c>
      <c r="L87" s="153">
        <v>381</v>
      </c>
      <c r="M87" s="172">
        <v>2400</v>
      </c>
      <c r="N87" s="153">
        <v>363</v>
      </c>
      <c r="O87" s="153" t="s">
        <v>417</v>
      </c>
      <c r="P87" s="153">
        <v>750</v>
      </c>
      <c r="Q87" s="172">
        <v>2400</v>
      </c>
      <c r="R87" s="153">
        <v>462</v>
      </c>
      <c r="S87" s="153" t="s">
        <v>417</v>
      </c>
      <c r="T87" s="153">
        <v>1152</v>
      </c>
      <c r="U87" s="172">
        <v>2400</v>
      </c>
      <c r="V87" s="153">
        <v>638</v>
      </c>
      <c r="W87" s="153" t="s">
        <v>417</v>
      </c>
      <c r="X87" s="153">
        <v>37</v>
      </c>
      <c r="Y87" s="172">
        <v>2400</v>
      </c>
      <c r="Z87" s="5"/>
      <c r="AA87" s="5"/>
    </row>
    <row r="88" spans="1:27" s="1" customFormat="1" ht="75" x14ac:dyDescent="0.25">
      <c r="A88" s="182">
        <v>70</v>
      </c>
      <c r="B88" s="160" t="s">
        <v>196</v>
      </c>
      <c r="C88" s="139" t="s">
        <v>197</v>
      </c>
      <c r="D88" s="221" t="s">
        <v>198</v>
      </c>
      <c r="E88" s="5" t="s">
        <v>33</v>
      </c>
      <c r="F88" s="5">
        <v>2607019567</v>
      </c>
      <c r="G88" s="79"/>
      <c r="H88" s="78">
        <v>1</v>
      </c>
      <c r="I88" s="183"/>
      <c r="J88" s="179">
        <v>250</v>
      </c>
      <c r="K88" s="153" t="s">
        <v>417</v>
      </c>
      <c r="L88" s="153">
        <v>358</v>
      </c>
      <c r="M88" s="172">
        <v>1200</v>
      </c>
      <c r="N88" s="153">
        <v>370</v>
      </c>
      <c r="O88" s="153" t="s">
        <v>417</v>
      </c>
      <c r="P88" s="153">
        <v>760</v>
      </c>
      <c r="Q88" s="172">
        <v>1200</v>
      </c>
      <c r="R88" s="153">
        <v>481</v>
      </c>
      <c r="S88" s="153" t="s">
        <v>417</v>
      </c>
      <c r="T88" s="153">
        <v>1178</v>
      </c>
      <c r="U88" s="172">
        <v>1200</v>
      </c>
      <c r="V88" s="153">
        <v>634</v>
      </c>
      <c r="W88" s="153" t="s">
        <v>417</v>
      </c>
      <c r="X88" s="153">
        <v>33</v>
      </c>
      <c r="Y88" s="172">
        <v>1200</v>
      </c>
      <c r="Z88" s="5"/>
      <c r="AA88" s="5"/>
    </row>
    <row r="89" spans="1:27" s="1" customFormat="1" ht="78" customHeight="1" x14ac:dyDescent="0.25">
      <c r="A89" s="182">
        <v>71</v>
      </c>
      <c r="B89" s="160" t="s">
        <v>375</v>
      </c>
      <c r="C89" s="139" t="s">
        <v>376</v>
      </c>
      <c r="D89" s="221" t="s">
        <v>377</v>
      </c>
      <c r="E89" s="5" t="s">
        <v>33</v>
      </c>
      <c r="F89" s="5">
        <v>2617002354</v>
      </c>
      <c r="G89" s="79"/>
      <c r="H89" s="78">
        <v>1</v>
      </c>
      <c r="I89" s="183"/>
      <c r="J89" s="178"/>
      <c r="K89" s="144"/>
      <c r="L89" s="144"/>
      <c r="M89" s="171"/>
      <c r="N89" s="206" t="s">
        <v>555</v>
      </c>
      <c r="O89" s="153" t="s">
        <v>417</v>
      </c>
      <c r="P89" s="153">
        <v>834</v>
      </c>
      <c r="Q89" s="172">
        <v>2400</v>
      </c>
      <c r="R89" s="153">
        <v>535</v>
      </c>
      <c r="S89" s="153" t="s">
        <v>417</v>
      </c>
      <c r="T89" s="153">
        <v>1341</v>
      </c>
      <c r="U89" s="172">
        <v>1200</v>
      </c>
      <c r="V89" s="153">
        <v>630</v>
      </c>
      <c r="W89" s="153" t="s">
        <v>417</v>
      </c>
      <c r="X89" s="153">
        <v>27</v>
      </c>
      <c r="Y89" s="172">
        <v>1200</v>
      </c>
      <c r="Z89" s="5"/>
      <c r="AA89" s="5"/>
    </row>
    <row r="90" spans="1:27" s="1" customFormat="1" ht="73.5" customHeight="1" x14ac:dyDescent="0.25">
      <c r="A90" s="182">
        <v>72</v>
      </c>
      <c r="B90" s="160" t="s">
        <v>248</v>
      </c>
      <c r="C90" s="139" t="s">
        <v>250</v>
      </c>
      <c r="D90" s="221" t="s">
        <v>249</v>
      </c>
      <c r="E90" s="5" t="s">
        <v>33</v>
      </c>
      <c r="F90" s="5">
        <v>2607019503</v>
      </c>
      <c r="G90" s="5"/>
      <c r="H90" s="5">
        <v>8</v>
      </c>
      <c r="I90" s="183"/>
      <c r="J90" s="179">
        <v>204</v>
      </c>
      <c r="K90" s="153" t="s">
        <v>417</v>
      </c>
      <c r="L90" s="153">
        <v>248</v>
      </c>
      <c r="M90" s="172">
        <v>9600</v>
      </c>
      <c r="N90" s="153">
        <v>316</v>
      </c>
      <c r="O90" s="153" t="s">
        <v>528</v>
      </c>
      <c r="P90" s="153">
        <v>650</v>
      </c>
      <c r="Q90" s="172">
        <v>8400</v>
      </c>
      <c r="R90" s="153">
        <v>466</v>
      </c>
      <c r="S90" s="153" t="s">
        <v>417</v>
      </c>
      <c r="T90" s="153">
        <v>1156</v>
      </c>
      <c r="U90" s="172">
        <v>8400</v>
      </c>
      <c r="V90" s="153">
        <v>596</v>
      </c>
      <c r="W90" s="153" t="s">
        <v>417</v>
      </c>
      <c r="X90" s="153">
        <v>1554</v>
      </c>
      <c r="Y90" s="172">
        <v>8400</v>
      </c>
      <c r="Z90" s="5"/>
      <c r="AA90" s="5"/>
    </row>
    <row r="91" spans="1:27" s="1" customFormat="1" ht="75" x14ac:dyDescent="0.25">
      <c r="A91" s="182">
        <v>73</v>
      </c>
      <c r="B91" s="160" t="s">
        <v>361</v>
      </c>
      <c r="C91" s="139" t="s">
        <v>539</v>
      </c>
      <c r="D91" s="221" t="s">
        <v>363</v>
      </c>
      <c r="E91" s="5" t="s">
        <v>33</v>
      </c>
      <c r="F91" s="5">
        <v>2607016132</v>
      </c>
      <c r="G91" s="79"/>
      <c r="H91" s="78">
        <v>2</v>
      </c>
      <c r="I91" s="183"/>
      <c r="J91" s="179">
        <v>264</v>
      </c>
      <c r="K91" s="153" t="s">
        <v>417</v>
      </c>
      <c r="L91" s="153">
        <v>382</v>
      </c>
      <c r="M91" s="172">
        <v>2400</v>
      </c>
      <c r="N91" s="153">
        <v>364</v>
      </c>
      <c r="O91" s="153" t="s">
        <v>417</v>
      </c>
      <c r="P91" s="153">
        <v>751</v>
      </c>
      <c r="Q91" s="172">
        <v>2400</v>
      </c>
      <c r="R91" s="153">
        <v>463</v>
      </c>
      <c r="S91" s="153" t="s">
        <v>417</v>
      </c>
      <c r="T91" s="153">
        <v>1153</v>
      </c>
      <c r="U91" s="172">
        <v>2400</v>
      </c>
      <c r="V91" s="153">
        <v>639</v>
      </c>
      <c r="W91" s="153" t="s">
        <v>417</v>
      </c>
      <c r="X91" s="153">
        <v>38</v>
      </c>
      <c r="Y91" s="172">
        <v>2400</v>
      </c>
      <c r="Z91" s="5"/>
      <c r="AA91" s="5"/>
    </row>
    <row r="92" spans="1:27" s="1" customFormat="1" ht="75" x14ac:dyDescent="0.25">
      <c r="A92" s="182">
        <v>74</v>
      </c>
      <c r="B92" s="160" t="s">
        <v>188</v>
      </c>
      <c r="C92" s="139" t="s">
        <v>541</v>
      </c>
      <c r="D92" s="221" t="s">
        <v>189</v>
      </c>
      <c r="E92" s="5" t="s">
        <v>33</v>
      </c>
      <c r="F92" s="5">
        <v>2602000587</v>
      </c>
      <c r="G92" s="79"/>
      <c r="H92" s="78">
        <v>1</v>
      </c>
      <c r="I92" s="183"/>
      <c r="J92" s="179"/>
      <c r="K92" s="153" t="s">
        <v>417</v>
      </c>
      <c r="L92" s="153">
        <v>346</v>
      </c>
      <c r="M92" s="172">
        <v>1200</v>
      </c>
      <c r="N92" s="153">
        <v>351</v>
      </c>
      <c r="O92" s="153" t="s">
        <v>417</v>
      </c>
      <c r="P92" s="153">
        <v>734</v>
      </c>
      <c r="Q92" s="172">
        <v>1200</v>
      </c>
      <c r="R92" s="153">
        <v>479</v>
      </c>
      <c r="S92" s="153" t="s">
        <v>417</v>
      </c>
      <c r="T92" s="153">
        <v>1175</v>
      </c>
      <c r="U92" s="172">
        <v>1200</v>
      </c>
      <c r="V92" s="153">
        <v>628</v>
      </c>
      <c r="W92" s="153" t="s">
        <v>417</v>
      </c>
      <c r="X92" s="153">
        <v>25</v>
      </c>
      <c r="Y92" s="172">
        <v>1200</v>
      </c>
      <c r="Z92" s="5"/>
      <c r="AA92" s="5"/>
    </row>
    <row r="93" spans="1:27" s="1" customFormat="1" ht="60" x14ac:dyDescent="0.25">
      <c r="A93" s="182">
        <v>75</v>
      </c>
      <c r="B93" s="160" t="s">
        <v>479</v>
      </c>
      <c r="C93" s="139" t="s">
        <v>117</v>
      </c>
      <c r="D93" s="221" t="s">
        <v>118</v>
      </c>
      <c r="E93" s="75" t="s">
        <v>33</v>
      </c>
      <c r="F93" s="5">
        <v>2608800685</v>
      </c>
      <c r="G93" s="5"/>
      <c r="H93" s="78">
        <v>1</v>
      </c>
      <c r="I93" s="183"/>
      <c r="J93" s="178"/>
      <c r="K93" s="144"/>
      <c r="L93" s="144"/>
      <c r="M93" s="171"/>
      <c r="N93" s="144"/>
      <c r="O93" s="144"/>
      <c r="P93" s="144"/>
      <c r="Q93" s="144"/>
      <c r="R93" s="144"/>
      <c r="S93" s="144"/>
      <c r="T93" s="144"/>
      <c r="U93" s="144"/>
      <c r="V93" s="144"/>
      <c r="W93" s="5"/>
      <c r="X93" s="5"/>
      <c r="Y93" s="5"/>
      <c r="Z93" s="5"/>
      <c r="AA93" s="5"/>
    </row>
    <row r="94" spans="1:27" s="1" customFormat="1" ht="60" x14ac:dyDescent="0.25">
      <c r="A94" s="182">
        <v>76</v>
      </c>
      <c r="B94" s="161" t="s">
        <v>297</v>
      </c>
      <c r="C94" s="139" t="s">
        <v>302</v>
      </c>
      <c r="D94" s="221" t="s">
        <v>296</v>
      </c>
      <c r="E94" s="5" t="s">
        <v>33</v>
      </c>
      <c r="F94" s="5">
        <v>2608800357</v>
      </c>
      <c r="G94" s="5"/>
      <c r="H94" s="5">
        <v>1</v>
      </c>
      <c r="I94" s="183"/>
      <c r="J94" s="179">
        <v>197</v>
      </c>
      <c r="K94" s="153" t="s">
        <v>417</v>
      </c>
      <c r="L94" s="153">
        <v>217</v>
      </c>
      <c r="M94" s="172">
        <v>1200</v>
      </c>
      <c r="N94" s="153">
        <v>329</v>
      </c>
      <c r="O94" s="153" t="s">
        <v>417</v>
      </c>
      <c r="P94" s="153">
        <v>705</v>
      </c>
      <c r="Q94" s="172">
        <v>1200</v>
      </c>
      <c r="R94" s="153">
        <v>447</v>
      </c>
      <c r="S94" s="153" t="s">
        <v>417</v>
      </c>
      <c r="T94" s="153">
        <v>1096</v>
      </c>
      <c r="U94" s="172">
        <v>1200</v>
      </c>
      <c r="V94" s="153">
        <v>636</v>
      </c>
      <c r="W94" s="153" t="s">
        <v>417</v>
      </c>
      <c r="X94" s="153">
        <v>35</v>
      </c>
      <c r="Y94" s="172">
        <v>1200</v>
      </c>
      <c r="Z94" s="5"/>
      <c r="AA94" s="5"/>
    </row>
    <row r="95" spans="1:27" s="1" customFormat="1" ht="60" x14ac:dyDescent="0.25">
      <c r="A95" s="182">
        <v>77</v>
      </c>
      <c r="B95" s="162" t="s">
        <v>337</v>
      </c>
      <c r="C95" s="150" t="s">
        <v>338</v>
      </c>
      <c r="D95" s="221" t="s">
        <v>339</v>
      </c>
      <c r="E95" s="5" t="s">
        <v>33</v>
      </c>
      <c r="F95" s="5">
        <v>7709239289</v>
      </c>
      <c r="G95" s="5"/>
      <c r="H95" s="5">
        <v>2</v>
      </c>
      <c r="I95" s="183"/>
      <c r="J95" s="179">
        <v>267</v>
      </c>
      <c r="K95" s="153" t="s">
        <v>417</v>
      </c>
      <c r="L95" s="153">
        <v>401</v>
      </c>
      <c r="M95" s="172">
        <v>2400</v>
      </c>
      <c r="N95" s="153">
        <v>365</v>
      </c>
      <c r="O95" s="153" t="s">
        <v>417</v>
      </c>
      <c r="P95" s="153">
        <v>752</v>
      </c>
      <c r="Q95" s="172">
        <v>2400</v>
      </c>
      <c r="R95" s="153">
        <v>486</v>
      </c>
      <c r="S95" s="153" t="s">
        <v>417</v>
      </c>
      <c r="T95" s="153">
        <v>1185</v>
      </c>
      <c r="U95" s="172">
        <v>2400</v>
      </c>
      <c r="V95" s="153">
        <v>623</v>
      </c>
      <c r="W95" s="153" t="s">
        <v>417</v>
      </c>
      <c r="X95" s="206">
        <v>16</v>
      </c>
      <c r="Y95" s="172">
        <v>2400</v>
      </c>
      <c r="Z95" s="5"/>
      <c r="AA95" s="5"/>
    </row>
    <row r="96" spans="1:27" s="1" customFormat="1" ht="75" x14ac:dyDescent="0.25">
      <c r="A96" s="182">
        <v>95</v>
      </c>
      <c r="B96" s="100" t="s">
        <v>436</v>
      </c>
      <c r="C96" s="100" t="s">
        <v>613</v>
      </c>
      <c r="D96" s="31" t="s">
        <v>561</v>
      </c>
      <c r="E96" s="3" t="s">
        <v>33</v>
      </c>
      <c r="F96" s="3">
        <v>2605010625</v>
      </c>
      <c r="G96" s="5"/>
      <c r="H96" s="5"/>
      <c r="I96" s="183">
        <v>9</v>
      </c>
      <c r="J96" s="179">
        <v>283</v>
      </c>
      <c r="K96" s="153" t="s">
        <v>417</v>
      </c>
      <c r="L96" s="153">
        <v>474</v>
      </c>
      <c r="M96" s="172">
        <v>10800</v>
      </c>
      <c r="N96" s="153">
        <v>346</v>
      </c>
      <c r="O96" s="153" t="s">
        <v>417</v>
      </c>
      <c r="P96" s="153">
        <v>728</v>
      </c>
      <c r="Q96" s="172">
        <v>3600</v>
      </c>
      <c r="R96" s="153">
        <v>530</v>
      </c>
      <c r="S96" s="153" t="s">
        <v>417</v>
      </c>
      <c r="T96" s="153">
        <v>1329</v>
      </c>
      <c r="U96" s="172">
        <v>9600</v>
      </c>
      <c r="V96" s="179">
        <v>609</v>
      </c>
      <c r="W96" s="153" t="s">
        <v>417</v>
      </c>
      <c r="X96" s="153">
        <v>1577</v>
      </c>
      <c r="Y96" s="172">
        <v>9600</v>
      </c>
      <c r="Z96" s="5"/>
      <c r="AA96" s="5"/>
    </row>
    <row r="97" spans="1:27" s="1" customFormat="1" ht="60" x14ac:dyDescent="0.25">
      <c r="A97" s="182">
        <v>97</v>
      </c>
      <c r="B97" s="100" t="s">
        <v>443</v>
      </c>
      <c r="C97" s="100" t="s">
        <v>444</v>
      </c>
      <c r="D97" s="87" t="s">
        <v>445</v>
      </c>
      <c r="E97" s="3" t="s">
        <v>33</v>
      </c>
      <c r="F97" s="3">
        <v>2622001927</v>
      </c>
      <c r="G97" s="5"/>
      <c r="H97" s="5"/>
      <c r="I97" s="183">
        <v>5</v>
      </c>
      <c r="J97" s="179">
        <v>273</v>
      </c>
      <c r="K97" s="153" t="s">
        <v>566</v>
      </c>
      <c r="L97" s="142"/>
      <c r="M97" s="173"/>
      <c r="N97" s="153">
        <v>405</v>
      </c>
      <c r="O97" s="153" t="s">
        <v>417</v>
      </c>
      <c r="P97" s="153">
        <v>890</v>
      </c>
      <c r="Q97" s="172">
        <v>12000</v>
      </c>
      <c r="R97" s="153">
        <v>516</v>
      </c>
      <c r="S97" s="153" t="s">
        <v>417</v>
      </c>
      <c r="T97" s="153">
        <v>1280</v>
      </c>
      <c r="U97" s="172">
        <v>6000</v>
      </c>
      <c r="V97" s="179">
        <v>602</v>
      </c>
      <c r="W97" s="153" t="s">
        <v>417</v>
      </c>
      <c r="X97" s="153">
        <v>1565</v>
      </c>
      <c r="Y97" s="172">
        <v>6000</v>
      </c>
      <c r="Z97" s="5"/>
      <c r="AA97" s="5"/>
    </row>
    <row r="98" spans="1:27" s="1" customFormat="1" ht="75" x14ac:dyDescent="0.25">
      <c r="A98" s="182">
        <v>101</v>
      </c>
      <c r="B98" s="139" t="s">
        <v>458</v>
      </c>
      <c r="C98" s="139" t="s">
        <v>459</v>
      </c>
      <c r="D98" s="41" t="s">
        <v>487</v>
      </c>
      <c r="E98" s="5" t="s">
        <v>33</v>
      </c>
      <c r="F98" s="5">
        <v>2636032629</v>
      </c>
      <c r="G98" s="5"/>
      <c r="H98" s="5"/>
      <c r="I98" s="183">
        <v>4</v>
      </c>
      <c r="J98" s="179">
        <v>279</v>
      </c>
      <c r="K98" s="153" t="s">
        <v>417</v>
      </c>
      <c r="L98" s="153">
        <v>444</v>
      </c>
      <c r="M98" s="172">
        <v>4800</v>
      </c>
      <c r="N98" s="179">
        <v>369</v>
      </c>
      <c r="O98" s="153" t="s">
        <v>417</v>
      </c>
      <c r="P98" s="153">
        <v>759</v>
      </c>
      <c r="Q98" s="172">
        <v>4800</v>
      </c>
      <c r="R98" s="153">
        <v>431</v>
      </c>
      <c r="S98" s="153" t="s">
        <v>417</v>
      </c>
      <c r="T98" s="153">
        <v>1039</v>
      </c>
      <c r="U98" s="172">
        <v>4800</v>
      </c>
      <c r="V98" s="179">
        <v>587</v>
      </c>
      <c r="W98" s="153" t="s">
        <v>417</v>
      </c>
      <c r="X98" s="153">
        <v>1521</v>
      </c>
      <c r="Y98" s="172">
        <v>4800</v>
      </c>
      <c r="Z98" s="5"/>
      <c r="AA98" s="5"/>
    </row>
    <row r="99" spans="1:27" s="1" customFormat="1" ht="60" x14ac:dyDescent="0.25">
      <c r="A99" s="182">
        <v>102</v>
      </c>
      <c r="B99" s="214" t="s">
        <v>206</v>
      </c>
      <c r="C99" s="214" t="s">
        <v>208</v>
      </c>
      <c r="D99" s="93" t="s">
        <v>592</v>
      </c>
      <c r="E99" s="3" t="s">
        <v>33</v>
      </c>
      <c r="F99" s="3">
        <v>910003300</v>
      </c>
      <c r="G99" s="5"/>
      <c r="H99" s="5"/>
      <c r="I99" s="183">
        <v>39</v>
      </c>
      <c r="J99" s="179">
        <v>217</v>
      </c>
      <c r="K99" s="153" t="s">
        <v>416</v>
      </c>
      <c r="L99" s="153">
        <v>300</v>
      </c>
      <c r="M99" s="172">
        <v>33000</v>
      </c>
      <c r="N99" s="153">
        <v>325</v>
      </c>
      <c r="O99" s="153" t="s">
        <v>416</v>
      </c>
      <c r="P99" s="153">
        <v>669</v>
      </c>
      <c r="Q99" s="172">
        <v>35000</v>
      </c>
      <c r="R99" s="153">
        <v>450</v>
      </c>
      <c r="S99" s="153" t="s">
        <v>417</v>
      </c>
      <c r="T99" s="153">
        <v>1100</v>
      </c>
      <c r="U99" s="172">
        <v>37000</v>
      </c>
      <c r="V99" s="153">
        <v>585</v>
      </c>
      <c r="W99" s="153" t="s">
        <v>416</v>
      </c>
      <c r="X99" s="206">
        <v>1518</v>
      </c>
      <c r="Y99" s="172">
        <v>39000</v>
      </c>
      <c r="Z99" s="5"/>
      <c r="AA99" s="5"/>
    </row>
    <row r="100" spans="1:27" s="1" customFormat="1" ht="60" x14ac:dyDescent="0.25">
      <c r="A100" s="182">
        <v>106</v>
      </c>
      <c r="B100" s="100" t="s">
        <v>464</v>
      </c>
      <c r="C100" s="100" t="s">
        <v>466</v>
      </c>
      <c r="D100" s="41" t="s">
        <v>465</v>
      </c>
      <c r="E100" s="3" t="s">
        <v>33</v>
      </c>
      <c r="F100" s="3">
        <v>2614015309</v>
      </c>
      <c r="G100" s="5"/>
      <c r="H100" s="5"/>
      <c r="I100" s="183">
        <v>12</v>
      </c>
      <c r="J100" s="179">
        <v>286</v>
      </c>
      <c r="K100" s="153" t="s">
        <v>435</v>
      </c>
      <c r="L100" s="153">
        <v>482</v>
      </c>
      <c r="M100" s="172">
        <v>14400</v>
      </c>
      <c r="N100" s="179">
        <v>340</v>
      </c>
      <c r="O100" s="153" t="s">
        <v>417</v>
      </c>
      <c r="P100" s="153">
        <v>719</v>
      </c>
      <c r="Q100" s="172">
        <v>14400</v>
      </c>
      <c r="R100" s="153">
        <v>454</v>
      </c>
      <c r="S100" s="153" t="s">
        <v>417</v>
      </c>
      <c r="T100" s="153">
        <v>1110</v>
      </c>
      <c r="U100" s="172">
        <v>14400</v>
      </c>
      <c r="V100" s="179">
        <v>600</v>
      </c>
      <c r="W100" s="153" t="s">
        <v>417</v>
      </c>
      <c r="X100" s="153">
        <v>1561</v>
      </c>
      <c r="Y100" s="172">
        <v>13200</v>
      </c>
      <c r="Z100" s="5"/>
      <c r="AA100" s="5"/>
    </row>
    <row r="101" spans="1:27" s="1" customFormat="1" ht="45" x14ac:dyDescent="0.25">
      <c r="A101" s="182">
        <v>114</v>
      </c>
      <c r="B101" s="100" t="s">
        <v>505</v>
      </c>
      <c r="C101" s="100" t="s">
        <v>506</v>
      </c>
      <c r="D101" s="221" t="s">
        <v>507</v>
      </c>
      <c r="E101" s="3" t="s">
        <v>33</v>
      </c>
      <c r="F101" s="3">
        <v>6229071563</v>
      </c>
      <c r="G101" s="5"/>
      <c r="H101" s="5"/>
      <c r="I101" s="183">
        <v>1</v>
      </c>
      <c r="J101" s="177"/>
      <c r="K101" s="142"/>
      <c r="L101" s="142"/>
      <c r="M101" s="173"/>
      <c r="N101" s="153">
        <v>416</v>
      </c>
      <c r="O101" s="143" t="s">
        <v>456</v>
      </c>
      <c r="P101" s="153">
        <v>991</v>
      </c>
      <c r="Q101" s="153">
        <v>2400</v>
      </c>
      <c r="R101" s="153">
        <v>538</v>
      </c>
      <c r="S101" s="153" t="s">
        <v>416</v>
      </c>
      <c r="T101" s="153">
        <v>1364</v>
      </c>
      <c r="U101" s="172">
        <v>1200</v>
      </c>
      <c r="V101" s="153">
        <v>669</v>
      </c>
      <c r="W101" s="153" t="s">
        <v>417</v>
      </c>
      <c r="X101" s="153">
        <v>201</v>
      </c>
      <c r="Y101" s="172">
        <v>1200</v>
      </c>
      <c r="Z101" s="5"/>
      <c r="AA101" s="5"/>
    </row>
    <row r="102" spans="1:27" s="1" customFormat="1" ht="60" x14ac:dyDescent="0.25">
      <c r="A102" s="182">
        <v>115</v>
      </c>
      <c r="B102" s="100" t="s">
        <v>510</v>
      </c>
      <c r="C102" s="100" t="s">
        <v>511</v>
      </c>
      <c r="D102" s="221" t="s">
        <v>512</v>
      </c>
      <c r="E102" s="3" t="s">
        <v>33</v>
      </c>
      <c r="F102" s="3">
        <v>5835121251</v>
      </c>
      <c r="G102" s="5"/>
      <c r="H102" s="5"/>
      <c r="I102" s="183">
        <v>7</v>
      </c>
      <c r="J102" s="177"/>
      <c r="K102" s="142"/>
      <c r="L102" s="142"/>
      <c r="M102" s="173"/>
      <c r="N102" s="144">
        <v>419</v>
      </c>
      <c r="O102" s="143" t="s">
        <v>439</v>
      </c>
      <c r="P102" s="153">
        <v>1010</v>
      </c>
      <c r="Q102" s="172">
        <v>8400</v>
      </c>
      <c r="R102" s="153">
        <v>419</v>
      </c>
      <c r="S102" s="153"/>
      <c r="T102" s="206"/>
      <c r="U102" s="172"/>
      <c r="V102" s="153">
        <v>554</v>
      </c>
      <c r="W102" s="153" t="s">
        <v>417</v>
      </c>
      <c r="X102" s="206" t="s">
        <v>625</v>
      </c>
      <c r="Y102" s="172">
        <v>14400</v>
      </c>
      <c r="Z102" s="75"/>
      <c r="AA102" s="75"/>
    </row>
    <row r="103" spans="1:27" s="1" customFormat="1" ht="75" x14ac:dyDescent="0.25">
      <c r="A103" s="182">
        <v>116</v>
      </c>
      <c r="B103" s="139" t="s">
        <v>513</v>
      </c>
      <c r="C103" s="100" t="s">
        <v>514</v>
      </c>
      <c r="D103" s="93" t="s">
        <v>521</v>
      </c>
      <c r="E103" s="3" t="s">
        <v>33</v>
      </c>
      <c r="F103" s="3">
        <v>2636032629</v>
      </c>
      <c r="G103" s="5"/>
      <c r="H103" s="5">
        <v>2</v>
      </c>
      <c r="I103" s="183"/>
      <c r="J103" s="177"/>
      <c r="K103" s="142"/>
      <c r="L103" s="142"/>
      <c r="M103" s="173"/>
      <c r="N103" s="153">
        <v>331</v>
      </c>
      <c r="O103" s="153" t="s">
        <v>439</v>
      </c>
      <c r="P103" s="153">
        <v>693</v>
      </c>
      <c r="Q103" s="172">
        <v>2400</v>
      </c>
      <c r="R103" s="153">
        <v>537</v>
      </c>
      <c r="S103" s="153" t="s">
        <v>417</v>
      </c>
      <c r="T103" s="153">
        <v>1361</v>
      </c>
      <c r="U103" s="172">
        <v>2400</v>
      </c>
      <c r="V103" s="142"/>
      <c r="W103" s="142"/>
      <c r="X103" s="142"/>
      <c r="Y103" s="142"/>
      <c r="Z103" s="173"/>
      <c r="AA103" s="75"/>
    </row>
    <row r="104" spans="1:27" s="1" customFormat="1" ht="75" x14ac:dyDescent="0.25">
      <c r="A104" s="182">
        <v>118</v>
      </c>
      <c r="B104" s="139" t="s">
        <v>524</v>
      </c>
      <c r="C104" s="100" t="s">
        <v>527</v>
      </c>
      <c r="D104" s="93" t="s">
        <v>525</v>
      </c>
      <c r="E104" s="3" t="s">
        <v>33</v>
      </c>
      <c r="F104" s="3">
        <v>2617800152</v>
      </c>
      <c r="G104" s="5"/>
      <c r="H104" s="5"/>
      <c r="I104" s="183">
        <v>2</v>
      </c>
      <c r="J104" s="179" t="s">
        <v>526</v>
      </c>
      <c r="K104" s="153"/>
      <c r="L104" s="153"/>
      <c r="M104" s="172">
        <v>2400</v>
      </c>
      <c r="N104" s="153">
        <v>312</v>
      </c>
      <c r="O104" s="153" t="s">
        <v>435</v>
      </c>
      <c r="P104" s="153">
        <v>625</v>
      </c>
      <c r="Q104" s="153">
        <v>2400</v>
      </c>
      <c r="R104" s="153">
        <v>449</v>
      </c>
      <c r="S104" s="153" t="s">
        <v>417</v>
      </c>
      <c r="T104" s="153">
        <v>1099</v>
      </c>
      <c r="U104" s="172">
        <v>2400</v>
      </c>
      <c r="V104" s="153">
        <v>569</v>
      </c>
      <c r="W104" s="153" t="s">
        <v>417</v>
      </c>
      <c r="X104" s="153">
        <v>1481</v>
      </c>
      <c r="Y104" s="172">
        <v>2400</v>
      </c>
      <c r="Z104" s="5"/>
      <c r="AA104" s="5"/>
    </row>
    <row r="105" spans="1:27" s="1" customFormat="1" ht="75" x14ac:dyDescent="0.25">
      <c r="A105" s="182">
        <v>120</v>
      </c>
      <c r="B105" s="139" t="s">
        <v>532</v>
      </c>
      <c r="C105" s="100" t="s">
        <v>534</v>
      </c>
      <c r="D105" s="221" t="s">
        <v>533</v>
      </c>
      <c r="E105" s="3" t="s">
        <v>33</v>
      </c>
      <c r="F105" s="3">
        <v>2618021494</v>
      </c>
      <c r="G105" s="5"/>
      <c r="H105" s="5">
        <v>1</v>
      </c>
      <c r="I105" s="183"/>
      <c r="J105" s="177"/>
      <c r="K105" s="142"/>
      <c r="L105" s="142"/>
      <c r="M105" s="173"/>
      <c r="N105" s="142"/>
      <c r="O105" s="142"/>
      <c r="P105" s="142"/>
      <c r="Q105" s="142"/>
      <c r="R105" s="153">
        <v>478</v>
      </c>
      <c r="S105" s="153" t="s">
        <v>416</v>
      </c>
      <c r="T105" s="153">
        <v>1174</v>
      </c>
      <c r="U105" s="172">
        <v>1200</v>
      </c>
      <c r="V105" s="153">
        <v>660</v>
      </c>
      <c r="W105" s="153" t="s">
        <v>417</v>
      </c>
      <c r="X105" s="153">
        <v>122</v>
      </c>
      <c r="Y105" s="172">
        <v>1200</v>
      </c>
      <c r="Z105" s="5"/>
      <c r="AA105" s="5"/>
    </row>
    <row r="106" spans="1:27" s="1" customFormat="1" ht="60" x14ac:dyDescent="0.25">
      <c r="A106" s="182">
        <v>122</v>
      </c>
      <c r="B106" s="139" t="s">
        <v>547</v>
      </c>
      <c r="C106" s="100" t="s">
        <v>554</v>
      </c>
      <c r="D106" s="101" t="s">
        <v>548</v>
      </c>
      <c r="E106" s="3" t="s">
        <v>33</v>
      </c>
      <c r="F106" s="3">
        <v>2623011950</v>
      </c>
      <c r="G106" s="5"/>
      <c r="H106" s="5">
        <v>4</v>
      </c>
      <c r="I106" s="183">
        <v>12</v>
      </c>
      <c r="J106" s="179">
        <v>137</v>
      </c>
      <c r="K106" s="153" t="s">
        <v>417</v>
      </c>
      <c r="L106" s="153">
        <v>832</v>
      </c>
      <c r="M106" s="172">
        <v>14400</v>
      </c>
      <c r="N106" s="239" t="s">
        <v>552</v>
      </c>
      <c r="O106" s="153" t="s">
        <v>551</v>
      </c>
      <c r="P106" s="153">
        <v>833</v>
      </c>
      <c r="Q106" s="172">
        <v>26400</v>
      </c>
      <c r="R106" s="153">
        <v>518</v>
      </c>
      <c r="S106" s="176" t="s">
        <v>435</v>
      </c>
      <c r="T106" s="153">
        <v>1545</v>
      </c>
      <c r="U106" s="172">
        <v>13200</v>
      </c>
      <c r="V106" s="153">
        <v>611</v>
      </c>
      <c r="W106" s="153" t="s">
        <v>417</v>
      </c>
      <c r="X106" s="206" t="s">
        <v>641</v>
      </c>
      <c r="Y106" s="172">
        <v>19200</v>
      </c>
      <c r="Z106" s="5"/>
      <c r="AA106" s="5"/>
    </row>
    <row r="107" spans="1:27" s="1" customFormat="1" ht="60" x14ac:dyDescent="0.25">
      <c r="A107" s="182">
        <v>124</v>
      </c>
      <c r="B107" s="139" t="s">
        <v>239</v>
      </c>
      <c r="C107" s="100" t="s">
        <v>241</v>
      </c>
      <c r="D107" s="93" t="s">
        <v>560</v>
      </c>
      <c r="E107" s="3" t="s">
        <v>33</v>
      </c>
      <c r="F107" s="3">
        <v>2620001350</v>
      </c>
      <c r="G107" s="5"/>
      <c r="H107" s="5"/>
      <c r="I107" s="183">
        <v>4</v>
      </c>
      <c r="J107" s="177"/>
      <c r="K107" s="142"/>
      <c r="L107" s="142"/>
      <c r="M107" s="173"/>
      <c r="N107" s="239" t="s">
        <v>567</v>
      </c>
      <c r="O107" s="153" t="s">
        <v>449</v>
      </c>
      <c r="P107" s="153">
        <v>892</v>
      </c>
      <c r="Q107" s="172">
        <v>9600</v>
      </c>
      <c r="R107" s="153">
        <v>434</v>
      </c>
      <c r="S107" s="153" t="s">
        <v>435</v>
      </c>
      <c r="T107" s="153">
        <v>1058</v>
      </c>
      <c r="U107" s="172">
        <v>4800</v>
      </c>
      <c r="V107" s="176">
        <v>598</v>
      </c>
      <c r="W107" s="153" t="s">
        <v>596</v>
      </c>
      <c r="X107" s="176">
        <v>1556</v>
      </c>
      <c r="Y107" s="175">
        <v>4800</v>
      </c>
      <c r="Z107" s="5"/>
      <c r="AA107" s="5"/>
    </row>
    <row r="108" spans="1:27" s="1" customFormat="1" ht="60" x14ac:dyDescent="0.25">
      <c r="A108" s="182">
        <v>126</v>
      </c>
      <c r="B108" s="139" t="s">
        <v>254</v>
      </c>
      <c r="C108" s="100" t="s">
        <v>255</v>
      </c>
      <c r="D108" s="93" t="s">
        <v>574</v>
      </c>
      <c r="E108" s="3" t="s">
        <v>33</v>
      </c>
      <c r="F108" s="3">
        <v>2615001940</v>
      </c>
      <c r="G108" s="5"/>
      <c r="H108" s="5">
        <v>10</v>
      </c>
      <c r="I108" s="183"/>
      <c r="J108" s="177"/>
      <c r="K108" s="153" t="s">
        <v>439</v>
      </c>
      <c r="L108" s="142"/>
      <c r="M108" s="173"/>
      <c r="N108" s="239">
        <v>413</v>
      </c>
      <c r="O108" s="153" t="s">
        <v>417</v>
      </c>
      <c r="P108" s="153">
        <v>937</v>
      </c>
      <c r="Q108" s="172">
        <v>14400</v>
      </c>
      <c r="R108" s="153">
        <v>494</v>
      </c>
      <c r="S108" s="153" t="s">
        <v>598</v>
      </c>
      <c r="T108" s="206" t="s">
        <v>599</v>
      </c>
      <c r="U108" s="172">
        <v>12000</v>
      </c>
      <c r="V108" s="153">
        <v>562</v>
      </c>
      <c r="W108" s="153" t="s">
        <v>628</v>
      </c>
      <c r="X108" s="153">
        <v>1468</v>
      </c>
      <c r="Y108" s="172">
        <v>12000</v>
      </c>
      <c r="Z108" s="5"/>
      <c r="AA108" s="5"/>
    </row>
    <row r="109" spans="1:27" s="1" customFormat="1" ht="105" x14ac:dyDescent="0.25">
      <c r="A109" s="182">
        <v>133</v>
      </c>
      <c r="B109" s="139" t="s">
        <v>614</v>
      </c>
      <c r="C109" s="100" t="s">
        <v>615</v>
      </c>
      <c r="D109" s="221" t="s">
        <v>616</v>
      </c>
      <c r="E109" s="3" t="s">
        <v>33</v>
      </c>
      <c r="F109" s="3">
        <v>2635228241</v>
      </c>
      <c r="G109" s="5"/>
      <c r="H109" s="5"/>
      <c r="I109" s="183">
        <v>1</v>
      </c>
      <c r="J109" s="177"/>
      <c r="K109" s="142"/>
      <c r="L109" s="142"/>
      <c r="M109" s="173"/>
      <c r="N109" s="244"/>
      <c r="O109" s="142"/>
      <c r="P109" s="142"/>
      <c r="Q109" s="173"/>
      <c r="R109" s="143"/>
      <c r="S109" s="143"/>
      <c r="T109" s="245"/>
      <c r="U109" s="175"/>
      <c r="V109" s="153">
        <v>653</v>
      </c>
      <c r="W109" s="153" t="s">
        <v>435</v>
      </c>
      <c r="X109" s="153">
        <v>93</v>
      </c>
      <c r="Y109" s="172">
        <v>2400</v>
      </c>
      <c r="Z109" s="5"/>
      <c r="AA109" s="5"/>
    </row>
    <row r="110" spans="1:27" s="1" customFormat="1" ht="90" x14ac:dyDescent="0.25">
      <c r="A110" s="182">
        <v>78</v>
      </c>
      <c r="B110" s="138" t="s">
        <v>199</v>
      </c>
      <c r="C110" s="150" t="s">
        <v>201</v>
      </c>
      <c r="D110" s="221" t="s">
        <v>203</v>
      </c>
      <c r="E110" s="5" t="s">
        <v>33</v>
      </c>
      <c r="F110" s="5">
        <v>2624800403</v>
      </c>
      <c r="G110" s="79"/>
      <c r="H110" s="78">
        <v>1</v>
      </c>
      <c r="I110" s="183"/>
      <c r="J110" s="207">
        <v>234</v>
      </c>
      <c r="K110" s="208" t="s">
        <v>417</v>
      </c>
      <c r="L110" s="208">
        <v>338</v>
      </c>
      <c r="M110" s="209">
        <v>1200</v>
      </c>
      <c r="N110" s="153">
        <v>366</v>
      </c>
      <c r="O110" s="153" t="s">
        <v>417</v>
      </c>
      <c r="P110" s="153">
        <v>753</v>
      </c>
      <c r="Q110" s="172">
        <v>1200</v>
      </c>
      <c r="R110" s="153">
        <v>485</v>
      </c>
      <c r="S110" s="153" t="s">
        <v>417</v>
      </c>
      <c r="T110" s="153">
        <v>1184</v>
      </c>
      <c r="U110" s="172">
        <v>1200</v>
      </c>
      <c r="V110" s="153">
        <v>613</v>
      </c>
      <c r="W110" s="153" t="s">
        <v>417</v>
      </c>
      <c r="X110" s="153">
        <v>4</v>
      </c>
      <c r="Y110" s="172">
        <v>1200</v>
      </c>
      <c r="Z110" s="5"/>
      <c r="AA110" s="5"/>
    </row>
    <row r="111" spans="1:27" s="1" customFormat="1" ht="90" x14ac:dyDescent="0.25">
      <c r="A111" s="182">
        <v>79</v>
      </c>
      <c r="B111" s="138" t="s">
        <v>200</v>
      </c>
      <c r="C111" s="150" t="s">
        <v>202</v>
      </c>
      <c r="D111" s="221" t="s">
        <v>204</v>
      </c>
      <c r="E111" s="5" t="s">
        <v>33</v>
      </c>
      <c r="F111" s="5">
        <v>2624030095</v>
      </c>
      <c r="G111" s="79"/>
      <c r="H111" s="78">
        <v>1</v>
      </c>
      <c r="I111" s="183"/>
      <c r="J111" s="207">
        <v>235</v>
      </c>
      <c r="K111" s="208" t="s">
        <v>417</v>
      </c>
      <c r="L111" s="208">
        <v>339</v>
      </c>
      <c r="M111" s="209">
        <v>1200</v>
      </c>
      <c r="N111" s="153">
        <v>367</v>
      </c>
      <c r="O111" s="153" t="s">
        <v>417</v>
      </c>
      <c r="P111" s="153">
        <v>754</v>
      </c>
      <c r="Q111" s="172">
        <v>1200</v>
      </c>
      <c r="R111" s="153">
        <v>484</v>
      </c>
      <c r="S111" s="153" t="s">
        <v>417</v>
      </c>
      <c r="T111" s="153">
        <v>1183</v>
      </c>
      <c r="U111" s="172">
        <v>1200</v>
      </c>
      <c r="V111" s="153">
        <v>614</v>
      </c>
      <c r="W111" s="153" t="s">
        <v>417</v>
      </c>
      <c r="X111" s="153">
        <v>5</v>
      </c>
      <c r="Y111" s="172">
        <v>1200</v>
      </c>
      <c r="Z111" s="5"/>
      <c r="AA111" s="5"/>
    </row>
    <row r="112" spans="1:27" s="1" customFormat="1" ht="75" x14ac:dyDescent="0.25">
      <c r="A112" s="182">
        <v>80</v>
      </c>
      <c r="B112" s="138" t="s">
        <v>467</v>
      </c>
      <c r="C112" s="150" t="s">
        <v>232</v>
      </c>
      <c r="D112" s="221" t="s">
        <v>468</v>
      </c>
      <c r="E112" s="5" t="s">
        <v>33</v>
      </c>
      <c r="F112" s="5">
        <v>2624022344</v>
      </c>
      <c r="G112" s="79"/>
      <c r="H112" s="78">
        <v>2</v>
      </c>
      <c r="I112" s="183"/>
      <c r="J112" s="179">
        <v>237</v>
      </c>
      <c r="K112" s="153" t="s">
        <v>469</v>
      </c>
      <c r="L112" s="153">
        <v>341</v>
      </c>
      <c r="M112" s="172">
        <v>2400</v>
      </c>
      <c r="N112" s="153">
        <v>368</v>
      </c>
      <c r="O112" s="153" t="s">
        <v>417</v>
      </c>
      <c r="P112" s="153">
        <v>755</v>
      </c>
      <c r="Q112" s="172">
        <v>2400</v>
      </c>
      <c r="R112" s="153">
        <v>483</v>
      </c>
      <c r="S112" s="153" t="s">
        <v>417</v>
      </c>
      <c r="T112" s="153">
        <v>1182</v>
      </c>
      <c r="U112" s="172">
        <v>2400</v>
      </c>
      <c r="V112" s="153">
        <v>584</v>
      </c>
      <c r="W112" s="153" t="s">
        <v>417</v>
      </c>
      <c r="X112" s="153">
        <v>1512</v>
      </c>
      <c r="Y112" s="172">
        <v>2400</v>
      </c>
      <c r="Z112" s="5"/>
      <c r="AA112" s="5"/>
    </row>
    <row r="113" spans="1:27" s="1" customFormat="1" ht="60" x14ac:dyDescent="0.25">
      <c r="A113" s="182">
        <v>107</v>
      </c>
      <c r="B113" s="108" t="s">
        <v>218</v>
      </c>
      <c r="C113" s="108" t="s">
        <v>535</v>
      </c>
      <c r="D113" s="93" t="s">
        <v>587</v>
      </c>
      <c r="E113" s="3" t="s">
        <v>33</v>
      </c>
      <c r="F113" s="3">
        <v>2624028635</v>
      </c>
      <c r="G113" s="79"/>
      <c r="H113" s="78"/>
      <c r="I113" s="183">
        <v>36</v>
      </c>
      <c r="J113" s="179">
        <v>229</v>
      </c>
      <c r="K113" s="153" t="s">
        <v>435</v>
      </c>
      <c r="L113" s="153">
        <v>328</v>
      </c>
      <c r="M113" s="172">
        <v>37200</v>
      </c>
      <c r="N113" s="153">
        <v>328</v>
      </c>
      <c r="O113" s="153" t="s">
        <v>417</v>
      </c>
      <c r="P113" s="153">
        <v>724</v>
      </c>
      <c r="Q113" s="172">
        <v>37200</v>
      </c>
      <c r="R113" s="153">
        <v>446</v>
      </c>
      <c r="S113" s="153" t="s">
        <v>417</v>
      </c>
      <c r="T113" s="153">
        <v>1094</v>
      </c>
      <c r="U113" s="172">
        <v>37200</v>
      </c>
      <c r="V113" s="153">
        <v>604</v>
      </c>
      <c r="W113" s="153" t="s">
        <v>416</v>
      </c>
      <c r="X113" s="153">
        <v>1569</v>
      </c>
      <c r="Y113" s="172">
        <v>37200</v>
      </c>
      <c r="Z113" s="5"/>
      <c r="AA113" s="5"/>
    </row>
    <row r="114" spans="1:27" s="1" customFormat="1" ht="75" x14ac:dyDescent="0.25">
      <c r="A114" s="182">
        <v>81</v>
      </c>
      <c r="B114" s="162" t="s">
        <v>271</v>
      </c>
      <c r="C114" s="150" t="s">
        <v>270</v>
      </c>
      <c r="D114" s="93" t="s">
        <v>272</v>
      </c>
      <c r="E114" s="5" t="s">
        <v>33</v>
      </c>
      <c r="F114" s="5">
        <v>2612017565</v>
      </c>
      <c r="G114" s="5"/>
      <c r="H114" s="75">
        <v>9</v>
      </c>
      <c r="I114" s="183"/>
      <c r="J114" s="179">
        <v>239</v>
      </c>
      <c r="K114" s="153" t="s">
        <v>439</v>
      </c>
      <c r="L114" s="153">
        <v>343</v>
      </c>
      <c r="M114" s="172">
        <v>12000</v>
      </c>
      <c r="N114" s="153">
        <v>350</v>
      </c>
      <c r="O114" s="153" t="s">
        <v>476</v>
      </c>
      <c r="P114" s="153">
        <v>733</v>
      </c>
      <c r="Q114" s="172">
        <v>10800</v>
      </c>
      <c r="R114" s="153">
        <v>477</v>
      </c>
      <c r="S114" s="153" t="s">
        <v>417</v>
      </c>
      <c r="T114" s="153">
        <v>1172</v>
      </c>
      <c r="U114" s="172">
        <v>10800</v>
      </c>
      <c r="V114" s="153">
        <v>589</v>
      </c>
      <c r="W114" s="153" t="s">
        <v>417</v>
      </c>
      <c r="X114" s="153">
        <v>1523</v>
      </c>
      <c r="Y114" s="172">
        <v>10800</v>
      </c>
      <c r="Z114" s="5"/>
      <c r="AA114" s="5"/>
    </row>
    <row r="115" spans="1:27" s="1" customFormat="1" ht="30" x14ac:dyDescent="0.25">
      <c r="A115" s="182">
        <v>82</v>
      </c>
      <c r="B115" s="164" t="s">
        <v>328</v>
      </c>
      <c r="C115" s="152" t="s">
        <v>329</v>
      </c>
      <c r="D115" s="221" t="s">
        <v>330</v>
      </c>
      <c r="E115" s="5" t="s">
        <v>33</v>
      </c>
      <c r="F115" s="78">
        <v>911102219002</v>
      </c>
      <c r="G115" s="5"/>
      <c r="H115" s="5">
        <v>1</v>
      </c>
      <c r="I115" s="183"/>
      <c r="J115" s="179">
        <v>255</v>
      </c>
      <c r="K115" s="153" t="s">
        <v>417</v>
      </c>
      <c r="L115" s="153">
        <v>361</v>
      </c>
      <c r="M115" s="172">
        <v>1200</v>
      </c>
      <c r="N115" s="153">
        <v>386</v>
      </c>
      <c r="O115" s="153" t="s">
        <v>417</v>
      </c>
      <c r="P115" s="153">
        <v>801</v>
      </c>
      <c r="Q115" s="172">
        <v>1200</v>
      </c>
      <c r="R115" s="153">
        <v>511</v>
      </c>
      <c r="S115" s="153" t="s">
        <v>606</v>
      </c>
      <c r="T115" s="153">
        <v>1251</v>
      </c>
      <c r="U115" s="172">
        <v>1200</v>
      </c>
      <c r="V115" s="153">
        <v>644</v>
      </c>
      <c r="W115" s="153" t="s">
        <v>449</v>
      </c>
      <c r="X115" s="153">
        <v>58</v>
      </c>
      <c r="Y115" s="172">
        <v>1200</v>
      </c>
      <c r="Z115" s="5"/>
      <c r="AA115" s="5"/>
    </row>
    <row r="116" spans="1:27" s="1" customFormat="1" ht="30" x14ac:dyDescent="0.25">
      <c r="A116" s="182">
        <v>83</v>
      </c>
      <c r="B116" s="164" t="s">
        <v>322</v>
      </c>
      <c r="C116" s="152" t="s">
        <v>323</v>
      </c>
      <c r="D116" s="221" t="s">
        <v>324</v>
      </c>
      <c r="E116" s="5" t="s">
        <v>33</v>
      </c>
      <c r="F116" s="78">
        <v>910200227313</v>
      </c>
      <c r="G116" s="5"/>
      <c r="H116" s="5">
        <v>1</v>
      </c>
      <c r="I116" s="183"/>
      <c r="J116" s="179">
        <v>253</v>
      </c>
      <c r="K116" s="153" t="s">
        <v>476</v>
      </c>
      <c r="L116" s="153">
        <v>359</v>
      </c>
      <c r="M116" s="172">
        <v>2400</v>
      </c>
      <c r="N116" s="153">
        <v>384</v>
      </c>
      <c r="O116" s="153" t="s">
        <v>417</v>
      </c>
      <c r="P116" s="153">
        <v>799</v>
      </c>
      <c r="Q116" s="172">
        <v>1200</v>
      </c>
      <c r="R116" s="153">
        <v>509</v>
      </c>
      <c r="S116" s="153" t="s">
        <v>606</v>
      </c>
      <c r="T116" s="153">
        <v>1249</v>
      </c>
      <c r="U116" s="172">
        <v>1200</v>
      </c>
      <c r="V116" s="153">
        <v>642</v>
      </c>
      <c r="W116" s="153" t="s">
        <v>449</v>
      </c>
      <c r="X116" s="153">
        <v>56</v>
      </c>
      <c r="Y116" s="172">
        <v>1200</v>
      </c>
      <c r="Z116" s="5"/>
      <c r="AA116" s="5"/>
    </row>
    <row r="117" spans="1:27" s="1" customFormat="1" ht="30" x14ac:dyDescent="0.25">
      <c r="A117" s="182">
        <v>84</v>
      </c>
      <c r="B117" s="164" t="s">
        <v>334</v>
      </c>
      <c r="C117" s="152" t="s">
        <v>335</v>
      </c>
      <c r="D117" s="221" t="s">
        <v>336</v>
      </c>
      <c r="E117" s="5" t="s">
        <v>33</v>
      </c>
      <c r="F117" s="78">
        <v>910206019302</v>
      </c>
      <c r="G117" s="5"/>
      <c r="H117" s="5"/>
      <c r="I117" s="183"/>
      <c r="J117" s="178"/>
      <c r="K117" s="153" t="s">
        <v>477</v>
      </c>
      <c r="L117" s="144"/>
      <c r="M117" s="171"/>
      <c r="N117" s="229"/>
      <c r="O117" s="229"/>
      <c r="P117" s="229"/>
      <c r="Q117" s="229"/>
      <c r="R117" s="229"/>
      <c r="S117" s="229"/>
      <c r="T117" s="229"/>
      <c r="U117" s="229"/>
      <c r="V117" s="229"/>
      <c r="W117" s="230"/>
      <c r="X117" s="230"/>
      <c r="Y117" s="230"/>
      <c r="Z117" s="5"/>
      <c r="AA117" s="5"/>
    </row>
    <row r="118" spans="1:27" s="1" customFormat="1" ht="30" x14ac:dyDescent="0.25">
      <c r="A118" s="182">
        <v>85</v>
      </c>
      <c r="B118" s="164" t="s">
        <v>325</v>
      </c>
      <c r="C118" s="152" t="s">
        <v>326</v>
      </c>
      <c r="D118" s="221" t="s">
        <v>327</v>
      </c>
      <c r="E118" s="5" t="s">
        <v>33</v>
      </c>
      <c r="F118" s="78">
        <v>910200227634</v>
      </c>
      <c r="G118" s="5"/>
      <c r="H118" s="5">
        <v>1</v>
      </c>
      <c r="I118" s="183"/>
      <c r="J118" s="179">
        <v>254</v>
      </c>
      <c r="K118" s="153" t="s">
        <v>417</v>
      </c>
      <c r="L118" s="153">
        <v>360</v>
      </c>
      <c r="M118" s="172">
        <v>1200</v>
      </c>
      <c r="N118" s="153">
        <v>385</v>
      </c>
      <c r="O118" s="153" t="s">
        <v>417</v>
      </c>
      <c r="P118" s="153">
        <v>800</v>
      </c>
      <c r="Q118" s="172">
        <v>1200</v>
      </c>
      <c r="R118" s="153">
        <v>512</v>
      </c>
      <c r="S118" s="153" t="s">
        <v>606</v>
      </c>
      <c r="T118" s="153">
        <v>1252</v>
      </c>
      <c r="U118" s="172">
        <v>1200</v>
      </c>
      <c r="V118" s="153">
        <v>643</v>
      </c>
      <c r="W118" s="153" t="s">
        <v>449</v>
      </c>
      <c r="X118" s="153">
        <v>57</v>
      </c>
      <c r="Y118" s="172">
        <v>1200</v>
      </c>
      <c r="Z118" s="5"/>
      <c r="AA118" s="5"/>
    </row>
    <row r="119" spans="1:27" s="1" customFormat="1" ht="30" x14ac:dyDescent="0.25">
      <c r="A119" s="182">
        <v>108</v>
      </c>
      <c r="B119" s="164" t="s">
        <v>473</v>
      </c>
      <c r="C119" s="152" t="s">
        <v>474</v>
      </c>
      <c r="D119" s="221" t="s">
        <v>475</v>
      </c>
      <c r="E119" s="5" t="s">
        <v>33</v>
      </c>
      <c r="F119" s="78">
        <v>910402859611</v>
      </c>
      <c r="G119" s="5"/>
      <c r="H119" s="5">
        <v>1</v>
      </c>
      <c r="I119" s="183"/>
      <c r="J119" s="178" t="s">
        <v>454</v>
      </c>
      <c r="K119" s="144" t="s">
        <v>454</v>
      </c>
      <c r="L119" s="144" t="s">
        <v>454</v>
      </c>
      <c r="M119" s="171" t="s">
        <v>454</v>
      </c>
      <c r="N119" s="153">
        <v>388</v>
      </c>
      <c r="O119" s="153" t="s">
        <v>435</v>
      </c>
      <c r="P119" s="153">
        <v>803</v>
      </c>
      <c r="Q119" s="172">
        <v>1200</v>
      </c>
      <c r="R119" s="153">
        <v>510</v>
      </c>
      <c r="S119" s="153" t="s">
        <v>606</v>
      </c>
      <c r="T119" s="153">
        <v>1250</v>
      </c>
      <c r="U119" s="172">
        <v>1200</v>
      </c>
      <c r="V119" s="153">
        <v>646</v>
      </c>
      <c r="W119" s="153" t="s">
        <v>449</v>
      </c>
      <c r="X119" s="153">
        <v>60</v>
      </c>
      <c r="Y119" s="172">
        <v>1200</v>
      </c>
      <c r="Z119" s="5"/>
      <c r="AA119" s="5"/>
    </row>
    <row r="120" spans="1:27" s="1" customFormat="1" ht="60" x14ac:dyDescent="0.25">
      <c r="A120" s="182">
        <v>86</v>
      </c>
      <c r="B120" s="163" t="s">
        <v>42</v>
      </c>
      <c r="C120" s="152" t="s">
        <v>100</v>
      </c>
      <c r="D120" s="221" t="s">
        <v>39</v>
      </c>
      <c r="E120" s="5" t="s">
        <v>33</v>
      </c>
      <c r="F120" s="5">
        <v>9107041038</v>
      </c>
      <c r="G120" s="5"/>
      <c r="H120" s="78">
        <v>3</v>
      </c>
      <c r="I120" s="183"/>
      <c r="J120" s="179">
        <v>276</v>
      </c>
      <c r="K120" s="153" t="s">
        <v>416</v>
      </c>
      <c r="L120" s="153">
        <v>385</v>
      </c>
      <c r="M120" s="172">
        <v>1950</v>
      </c>
      <c r="N120" s="153">
        <v>399</v>
      </c>
      <c r="O120" s="153" t="s">
        <v>449</v>
      </c>
      <c r="P120" s="153">
        <v>843</v>
      </c>
      <c r="Q120" s="153">
        <v>1950</v>
      </c>
      <c r="R120" s="153">
        <v>513</v>
      </c>
      <c r="S120" s="153" t="s">
        <v>606</v>
      </c>
      <c r="T120" s="206" t="s">
        <v>607</v>
      </c>
      <c r="U120" s="172">
        <v>1950</v>
      </c>
      <c r="V120" s="153">
        <v>657</v>
      </c>
      <c r="W120" s="153" t="s">
        <v>417</v>
      </c>
      <c r="X120" s="153">
        <v>114</v>
      </c>
      <c r="Y120" s="172">
        <v>1950</v>
      </c>
      <c r="Z120" s="75"/>
      <c r="AA120" s="5"/>
    </row>
    <row r="121" spans="1:27" s="1" customFormat="1" ht="60" x14ac:dyDescent="0.25">
      <c r="A121" s="182">
        <v>87</v>
      </c>
      <c r="B121" s="163" t="s">
        <v>80</v>
      </c>
      <c r="C121" s="152" t="s">
        <v>675</v>
      </c>
      <c r="D121" s="221" t="s">
        <v>81</v>
      </c>
      <c r="E121" s="5" t="s">
        <v>33</v>
      </c>
      <c r="F121" s="55">
        <v>9204564019</v>
      </c>
      <c r="G121" s="55"/>
      <c r="H121" s="80">
        <v>2</v>
      </c>
      <c r="I121" s="183"/>
      <c r="J121" s="179">
        <v>246</v>
      </c>
      <c r="K121" s="153" t="s">
        <v>417</v>
      </c>
      <c r="L121" s="153">
        <v>348</v>
      </c>
      <c r="M121" s="172">
        <v>1200</v>
      </c>
      <c r="N121" s="153">
        <v>357</v>
      </c>
      <c r="O121" s="153" t="s">
        <v>417</v>
      </c>
      <c r="P121" s="153">
        <v>739</v>
      </c>
      <c r="Q121" s="172">
        <v>1200</v>
      </c>
      <c r="R121" s="153">
        <v>429</v>
      </c>
      <c r="S121" s="153" t="s">
        <v>417</v>
      </c>
      <c r="T121" s="153">
        <v>1034</v>
      </c>
      <c r="U121" s="172">
        <v>1200</v>
      </c>
      <c r="V121" s="153">
        <v>579</v>
      </c>
      <c r="W121" s="153" t="s">
        <v>417</v>
      </c>
      <c r="X121" s="153">
        <v>1487</v>
      </c>
      <c r="Y121" s="172">
        <v>1200</v>
      </c>
      <c r="Z121" s="5"/>
      <c r="AA121" s="5"/>
    </row>
    <row r="122" spans="1:27" s="1" customFormat="1" ht="60" x14ac:dyDescent="0.25">
      <c r="A122" s="182">
        <v>88</v>
      </c>
      <c r="B122" s="163" t="s">
        <v>131</v>
      </c>
      <c r="C122" s="152" t="s">
        <v>132</v>
      </c>
      <c r="D122" s="221" t="s">
        <v>133</v>
      </c>
      <c r="E122" s="75" t="s">
        <v>33</v>
      </c>
      <c r="F122" s="5">
        <v>9111016299</v>
      </c>
      <c r="G122" s="5"/>
      <c r="H122" s="5">
        <v>6</v>
      </c>
      <c r="I122" s="183">
        <v>6</v>
      </c>
      <c r="J122" s="179">
        <v>274</v>
      </c>
      <c r="K122" s="153" t="s">
        <v>416</v>
      </c>
      <c r="L122" s="153">
        <v>387</v>
      </c>
      <c r="M122" s="172">
        <v>4800</v>
      </c>
      <c r="N122" s="144"/>
      <c r="O122" s="143" t="s">
        <v>449</v>
      </c>
      <c r="P122" s="153">
        <v>841</v>
      </c>
      <c r="Q122" s="153">
        <v>7200</v>
      </c>
      <c r="R122" s="153">
        <v>507</v>
      </c>
      <c r="S122" s="153" t="s">
        <v>606</v>
      </c>
      <c r="T122" s="153">
        <v>1247</v>
      </c>
      <c r="U122" s="172">
        <v>7200</v>
      </c>
      <c r="V122" s="153">
        <v>680</v>
      </c>
      <c r="W122" s="153" t="s">
        <v>608</v>
      </c>
      <c r="X122" s="153">
        <v>236</v>
      </c>
      <c r="Y122" s="172">
        <v>7200</v>
      </c>
      <c r="Z122" s="5"/>
      <c r="AA122" s="5"/>
    </row>
    <row r="123" spans="1:27" s="1" customFormat="1" ht="45" x14ac:dyDescent="0.25">
      <c r="A123" s="182">
        <v>89</v>
      </c>
      <c r="B123" s="163" t="s">
        <v>62</v>
      </c>
      <c r="C123" s="152" t="s">
        <v>104</v>
      </c>
      <c r="D123" s="221" t="s">
        <v>59</v>
      </c>
      <c r="E123" s="5" t="s">
        <v>33</v>
      </c>
      <c r="F123" s="5">
        <v>9111023105</v>
      </c>
      <c r="G123" s="5"/>
      <c r="H123" s="78">
        <v>2</v>
      </c>
      <c r="I123" s="183"/>
      <c r="J123" s="179">
        <v>275</v>
      </c>
      <c r="K123" s="153" t="s">
        <v>416</v>
      </c>
      <c r="L123" s="153">
        <v>386</v>
      </c>
      <c r="M123" s="172">
        <v>2000</v>
      </c>
      <c r="N123" s="153">
        <v>400</v>
      </c>
      <c r="O123" s="153" t="s">
        <v>449</v>
      </c>
      <c r="P123" s="153">
        <v>844</v>
      </c>
      <c r="Q123" s="153">
        <v>2000</v>
      </c>
      <c r="R123" s="153">
        <v>505</v>
      </c>
      <c r="S123" s="153" t="s">
        <v>606</v>
      </c>
      <c r="T123" s="153">
        <v>1237</v>
      </c>
      <c r="U123" s="172">
        <v>2000</v>
      </c>
      <c r="V123" s="173"/>
      <c r="W123" s="5"/>
      <c r="X123" s="5"/>
      <c r="Y123" s="5"/>
      <c r="Z123" s="5"/>
      <c r="AA123" s="5"/>
    </row>
    <row r="124" spans="1:27" s="1" customFormat="1" ht="30" x14ac:dyDescent="0.25">
      <c r="A124" s="182">
        <v>90</v>
      </c>
      <c r="B124" s="164" t="s">
        <v>331</v>
      </c>
      <c r="C124" s="152" t="s">
        <v>332</v>
      </c>
      <c r="D124" s="221" t="s">
        <v>333</v>
      </c>
      <c r="E124" s="5" t="s">
        <v>33</v>
      </c>
      <c r="F124" s="78">
        <v>9102040305</v>
      </c>
      <c r="G124" s="5"/>
      <c r="H124" s="5">
        <v>3</v>
      </c>
      <c r="I124" s="183"/>
      <c r="J124" s="179">
        <v>256</v>
      </c>
      <c r="K124" s="153" t="s">
        <v>476</v>
      </c>
      <c r="L124" s="153">
        <v>362</v>
      </c>
      <c r="M124" s="172">
        <v>6000</v>
      </c>
      <c r="N124" s="153">
        <v>387</v>
      </c>
      <c r="O124" s="153" t="s">
        <v>417</v>
      </c>
      <c r="P124" s="153">
        <v>802</v>
      </c>
      <c r="Q124" s="172">
        <v>3600</v>
      </c>
      <c r="R124" s="153">
        <v>508</v>
      </c>
      <c r="S124" s="153" t="s">
        <v>606</v>
      </c>
      <c r="T124" s="153">
        <v>1248</v>
      </c>
      <c r="U124" s="172">
        <v>3600</v>
      </c>
      <c r="V124" s="153">
        <v>645</v>
      </c>
      <c r="W124" s="153" t="s">
        <v>449</v>
      </c>
      <c r="X124" s="153">
        <v>59</v>
      </c>
      <c r="Y124" s="172">
        <v>3600</v>
      </c>
      <c r="Z124" s="5"/>
      <c r="AA124" s="5"/>
    </row>
    <row r="125" spans="1:27" s="1" customFormat="1" ht="30" x14ac:dyDescent="0.25">
      <c r="A125" s="182">
        <v>110</v>
      </c>
      <c r="B125" s="164" t="s">
        <v>109</v>
      </c>
      <c r="C125" s="152" t="s">
        <v>483</v>
      </c>
      <c r="D125" s="221" t="s">
        <v>484</v>
      </c>
      <c r="E125" s="5" t="s">
        <v>33</v>
      </c>
      <c r="F125" s="78">
        <v>9204566016</v>
      </c>
      <c r="G125" s="194"/>
      <c r="H125" s="194">
        <v>1</v>
      </c>
      <c r="I125" s="195"/>
      <c r="J125" s="178" t="s">
        <v>454</v>
      </c>
      <c r="K125" s="144" t="s">
        <v>454</v>
      </c>
      <c r="L125" s="144" t="s">
        <v>454</v>
      </c>
      <c r="M125" s="171" t="s">
        <v>454</v>
      </c>
      <c r="N125" s="143" t="s">
        <v>661</v>
      </c>
      <c r="O125" s="153" t="s">
        <v>439</v>
      </c>
      <c r="P125" s="143"/>
      <c r="Q125" s="143"/>
      <c r="R125" s="143" t="s">
        <v>656</v>
      </c>
      <c r="S125" s="143"/>
      <c r="T125" s="143"/>
      <c r="U125" s="143"/>
      <c r="V125" s="153">
        <v>659</v>
      </c>
      <c r="W125" s="153" t="s">
        <v>417</v>
      </c>
      <c r="X125" s="153">
        <v>118</v>
      </c>
      <c r="Y125" s="172">
        <v>3600</v>
      </c>
      <c r="Z125" s="5"/>
      <c r="AA125" s="5"/>
    </row>
    <row r="126" spans="1:27" s="1" customFormat="1" ht="60" x14ac:dyDescent="0.25">
      <c r="A126" s="182">
        <v>100</v>
      </c>
      <c r="B126" s="196" t="s">
        <v>48</v>
      </c>
      <c r="C126" s="152" t="s">
        <v>478</v>
      </c>
      <c r="D126" s="24" t="s">
        <v>453</v>
      </c>
      <c r="E126" s="5" t="s">
        <v>33</v>
      </c>
      <c r="F126" s="5">
        <v>9103001267</v>
      </c>
      <c r="G126" s="194"/>
      <c r="H126" s="194"/>
      <c r="I126" s="195"/>
      <c r="J126" s="178" t="s">
        <v>454</v>
      </c>
      <c r="K126" s="144" t="s">
        <v>454</v>
      </c>
      <c r="L126" s="144" t="s">
        <v>454</v>
      </c>
      <c r="M126" s="171" t="s">
        <v>454</v>
      </c>
      <c r="N126" s="153">
        <v>389</v>
      </c>
      <c r="O126" s="143" t="s">
        <v>449</v>
      </c>
      <c r="P126" s="153">
        <v>805</v>
      </c>
      <c r="Q126" s="172">
        <v>4653.34</v>
      </c>
      <c r="R126" s="153">
        <v>497</v>
      </c>
      <c r="S126" s="153" t="s">
        <v>456</v>
      </c>
      <c r="T126" s="153">
        <v>1210</v>
      </c>
      <c r="U126" s="172">
        <v>4653.34</v>
      </c>
      <c r="V126" s="153">
        <v>559</v>
      </c>
      <c r="W126" s="143" t="s">
        <v>456</v>
      </c>
      <c r="X126" s="153">
        <v>1464</v>
      </c>
      <c r="Y126" s="172">
        <v>4653.34</v>
      </c>
      <c r="Z126" s="5"/>
      <c r="AA126" s="5"/>
    </row>
    <row r="127" spans="1:27" s="1" customFormat="1" ht="30" x14ac:dyDescent="0.25">
      <c r="A127" s="182">
        <v>113</v>
      </c>
      <c r="B127" s="217" t="s">
        <v>501</v>
      </c>
      <c r="C127" s="218" t="s">
        <v>502</v>
      </c>
      <c r="D127" s="101" t="s">
        <v>503</v>
      </c>
      <c r="E127" s="5" t="s">
        <v>33</v>
      </c>
      <c r="F127" s="194">
        <v>9111024363</v>
      </c>
      <c r="G127" s="194"/>
      <c r="H127" s="194">
        <v>1</v>
      </c>
      <c r="I127" s="195"/>
      <c r="J127" s="178" t="s">
        <v>454</v>
      </c>
      <c r="K127" s="144" t="s">
        <v>454</v>
      </c>
      <c r="L127" s="144" t="s">
        <v>454</v>
      </c>
      <c r="M127" s="171" t="s">
        <v>454</v>
      </c>
      <c r="N127" s="144"/>
      <c r="O127" s="143" t="s">
        <v>439</v>
      </c>
      <c r="P127" s="144"/>
      <c r="Q127" s="144"/>
      <c r="R127" s="153">
        <v>506</v>
      </c>
      <c r="S127" s="250" t="s">
        <v>455</v>
      </c>
      <c r="T127" s="153">
        <v>1246</v>
      </c>
      <c r="U127" s="172">
        <v>1200</v>
      </c>
      <c r="V127" s="142"/>
      <c r="W127" s="75"/>
      <c r="X127" s="75"/>
      <c r="Y127" s="75"/>
      <c r="Z127" s="5"/>
      <c r="AA127" s="5"/>
    </row>
    <row r="128" spans="1:27" s="1" customFormat="1" ht="45" x14ac:dyDescent="0.25">
      <c r="A128" s="182">
        <v>132</v>
      </c>
      <c r="B128" s="217" t="s">
        <v>610</v>
      </c>
      <c r="C128" s="218" t="s">
        <v>612</v>
      </c>
      <c r="D128" s="221" t="s">
        <v>611</v>
      </c>
      <c r="E128" s="5" t="s">
        <v>33</v>
      </c>
      <c r="F128" s="194">
        <v>9204003528</v>
      </c>
      <c r="G128" s="194"/>
      <c r="H128" s="194">
        <v>1</v>
      </c>
      <c r="I128" s="195"/>
      <c r="J128" s="178"/>
      <c r="K128" s="144"/>
      <c r="L128" s="144"/>
      <c r="M128" s="171"/>
      <c r="N128" s="153"/>
      <c r="O128" s="153"/>
      <c r="P128" s="153"/>
      <c r="Q128" s="153"/>
      <c r="R128" s="153">
        <v>522</v>
      </c>
      <c r="S128" s="153" t="s">
        <v>416</v>
      </c>
      <c r="T128" s="153">
        <v>1301</v>
      </c>
      <c r="U128" s="172">
        <v>2400</v>
      </c>
      <c r="V128" s="153">
        <v>635</v>
      </c>
      <c r="W128" s="153" t="s">
        <v>416</v>
      </c>
      <c r="X128" s="153">
        <v>34</v>
      </c>
      <c r="Y128" s="172">
        <v>1200</v>
      </c>
      <c r="Z128" s="5"/>
      <c r="AA128" s="5"/>
    </row>
    <row r="129" spans="1:27" s="1" customFormat="1" ht="60" x14ac:dyDescent="0.25">
      <c r="A129" s="182">
        <v>134</v>
      </c>
      <c r="B129" s="217" t="s">
        <v>618</v>
      </c>
      <c r="C129" s="218" t="s">
        <v>619</v>
      </c>
      <c r="D129" s="221" t="s">
        <v>620</v>
      </c>
      <c r="E129" s="5" t="s">
        <v>33</v>
      </c>
      <c r="F129" s="194">
        <v>9102255614</v>
      </c>
      <c r="G129" s="194"/>
      <c r="H129" s="194">
        <v>1</v>
      </c>
      <c r="I129" s="195"/>
      <c r="J129" s="177"/>
      <c r="K129" s="142"/>
      <c r="L129" s="142"/>
      <c r="M129" s="173"/>
      <c r="N129" s="142"/>
      <c r="O129" s="142"/>
      <c r="P129" s="142"/>
      <c r="Q129" s="142"/>
      <c r="R129" s="142"/>
      <c r="S129" s="142"/>
      <c r="T129" s="142"/>
      <c r="U129" s="173"/>
      <c r="V129" s="142"/>
      <c r="W129" s="153" t="s">
        <v>439</v>
      </c>
      <c r="X129" s="75"/>
      <c r="Y129" s="75"/>
      <c r="Z129" s="5"/>
      <c r="AA129" s="5"/>
    </row>
    <row r="130" spans="1:27" s="1" customFormat="1" ht="45" x14ac:dyDescent="0.25">
      <c r="A130" s="182"/>
      <c r="B130" s="217" t="s">
        <v>668</v>
      </c>
      <c r="C130" s="218" t="s">
        <v>669</v>
      </c>
      <c r="D130" s="221" t="s">
        <v>670</v>
      </c>
      <c r="E130" s="5" t="s">
        <v>33</v>
      </c>
      <c r="F130" s="194">
        <v>9204008156</v>
      </c>
      <c r="G130" s="194"/>
      <c r="H130" s="194"/>
      <c r="I130" s="195">
        <v>1</v>
      </c>
      <c r="J130" s="180" t="s">
        <v>671</v>
      </c>
      <c r="K130" s="143"/>
      <c r="L130" s="153"/>
      <c r="M130" s="172"/>
      <c r="N130" s="153" t="s">
        <v>672</v>
      </c>
      <c r="O130" s="153"/>
      <c r="P130" s="153"/>
      <c r="Q130" s="153"/>
      <c r="R130" s="153" t="s">
        <v>673</v>
      </c>
      <c r="S130" s="153"/>
      <c r="T130" s="153"/>
      <c r="U130" s="172"/>
      <c r="V130" s="179">
        <v>637</v>
      </c>
      <c r="W130" s="153"/>
      <c r="X130" s="6">
        <v>162</v>
      </c>
      <c r="Y130" s="172">
        <v>8000</v>
      </c>
      <c r="Z130" s="5"/>
      <c r="AA130" s="5"/>
    </row>
    <row r="131" spans="1:27" s="248" customFormat="1" ht="75" x14ac:dyDescent="0.25">
      <c r="A131" s="277">
        <v>111</v>
      </c>
      <c r="B131" s="214" t="s">
        <v>492</v>
      </c>
      <c r="C131" s="214" t="s">
        <v>622</v>
      </c>
      <c r="D131" s="241" t="s">
        <v>493</v>
      </c>
      <c r="E131" s="75" t="s">
        <v>33</v>
      </c>
      <c r="F131" s="278">
        <v>901017000</v>
      </c>
      <c r="G131" s="278"/>
      <c r="H131" s="278"/>
      <c r="I131" s="279">
        <v>5</v>
      </c>
      <c r="J131" s="177">
        <v>291</v>
      </c>
      <c r="K131" s="142" t="s">
        <v>416</v>
      </c>
      <c r="L131" s="142">
        <v>504</v>
      </c>
      <c r="M131" s="173">
        <v>6000</v>
      </c>
      <c r="N131" s="142">
        <v>395</v>
      </c>
      <c r="O131" s="153" t="s">
        <v>417</v>
      </c>
      <c r="P131" s="153">
        <v>836</v>
      </c>
      <c r="Q131" s="172">
        <v>6000</v>
      </c>
      <c r="R131" s="153">
        <v>495</v>
      </c>
      <c r="S131" s="153" t="s">
        <v>417</v>
      </c>
      <c r="T131" s="153">
        <v>1199</v>
      </c>
      <c r="U131" s="172">
        <v>6000</v>
      </c>
      <c r="V131" s="179">
        <v>556</v>
      </c>
      <c r="W131" s="153" t="s">
        <v>417</v>
      </c>
      <c r="X131" s="153">
        <v>1451</v>
      </c>
      <c r="Y131" s="172">
        <v>6000</v>
      </c>
      <c r="Z131" s="75"/>
      <c r="AA131" s="75"/>
    </row>
    <row r="132" spans="1:27" s="1" customFormat="1" ht="60" x14ac:dyDescent="0.25">
      <c r="A132" s="182">
        <v>112</v>
      </c>
      <c r="B132" s="214" t="s">
        <v>494</v>
      </c>
      <c r="C132" s="214" t="s">
        <v>496</v>
      </c>
      <c r="D132" s="215" t="s">
        <v>495</v>
      </c>
      <c r="E132" s="5" t="s">
        <v>33</v>
      </c>
      <c r="F132" s="194">
        <v>901016983</v>
      </c>
      <c r="G132" s="194"/>
      <c r="H132" s="194"/>
      <c r="I132" s="195">
        <v>1</v>
      </c>
      <c r="J132" s="177"/>
      <c r="K132" s="142"/>
      <c r="L132" s="142"/>
      <c r="M132" s="173"/>
      <c r="N132" s="153"/>
      <c r="O132" s="153"/>
      <c r="P132" s="153"/>
      <c r="Q132" s="153"/>
      <c r="R132" s="153">
        <v>528</v>
      </c>
      <c r="S132" s="153" t="s">
        <v>417</v>
      </c>
      <c r="T132" s="153">
        <v>1323</v>
      </c>
      <c r="U132" s="172">
        <v>2400</v>
      </c>
      <c r="V132" s="179">
        <v>557</v>
      </c>
      <c r="W132" s="153" t="s">
        <v>417</v>
      </c>
      <c r="X132" s="153">
        <v>1452</v>
      </c>
      <c r="Y132" s="172">
        <v>1200</v>
      </c>
      <c r="Z132" s="5"/>
      <c r="AA132" s="5"/>
    </row>
    <row r="133" spans="1:27" s="1" customFormat="1" ht="115.5" customHeight="1" x14ac:dyDescent="0.25">
      <c r="A133" s="182">
        <v>121</v>
      </c>
      <c r="B133" s="214" t="s">
        <v>545</v>
      </c>
      <c r="C133" s="231" t="s">
        <v>627</v>
      </c>
      <c r="D133" s="241" t="s">
        <v>546</v>
      </c>
      <c r="E133" s="5" t="s">
        <v>33</v>
      </c>
      <c r="F133" s="194">
        <v>901002282</v>
      </c>
      <c r="G133" s="194"/>
      <c r="H133" s="194"/>
      <c r="I133" s="195">
        <v>33</v>
      </c>
      <c r="J133" s="177"/>
      <c r="K133" s="142"/>
      <c r="L133" s="142"/>
      <c r="M133" s="173"/>
      <c r="N133" s="153">
        <v>383</v>
      </c>
      <c r="O133" s="153" t="s">
        <v>417</v>
      </c>
      <c r="P133" s="153">
        <v>794</v>
      </c>
      <c r="Q133" s="172">
        <v>33000</v>
      </c>
      <c r="R133" s="153">
        <v>482</v>
      </c>
      <c r="S133" s="153" t="s">
        <v>435</v>
      </c>
      <c r="T133" s="153">
        <v>1466</v>
      </c>
      <c r="U133" s="172">
        <v>33000</v>
      </c>
      <c r="V133" s="153">
        <v>555</v>
      </c>
      <c r="W133" s="153" t="s">
        <v>417</v>
      </c>
      <c r="X133" s="153">
        <v>1450</v>
      </c>
      <c r="Y133" s="172">
        <v>33000</v>
      </c>
      <c r="Z133" s="5"/>
      <c r="AA133" s="5"/>
    </row>
    <row r="134" spans="1:27" s="1" customFormat="1" ht="76.5" customHeight="1" x14ac:dyDescent="0.25">
      <c r="A134" s="182">
        <v>125</v>
      </c>
      <c r="B134" s="214" t="s">
        <v>564</v>
      </c>
      <c r="C134" s="231" t="s">
        <v>565</v>
      </c>
      <c r="D134" s="238" t="s">
        <v>563</v>
      </c>
      <c r="E134" s="5" t="s">
        <v>33</v>
      </c>
      <c r="F134" s="194">
        <v>917026673</v>
      </c>
      <c r="G134" s="194"/>
      <c r="H134" s="194">
        <v>1</v>
      </c>
      <c r="I134" s="195"/>
      <c r="J134" s="177"/>
      <c r="K134" s="142"/>
      <c r="L134" s="142"/>
      <c r="M134" s="173"/>
      <c r="N134" s="153">
        <v>403</v>
      </c>
      <c r="O134" s="153" t="s">
        <v>417</v>
      </c>
      <c r="P134" s="153">
        <v>887</v>
      </c>
      <c r="Q134" s="172">
        <v>1200</v>
      </c>
      <c r="R134" s="153"/>
      <c r="S134" s="153" t="s">
        <v>439</v>
      </c>
      <c r="T134" s="153"/>
      <c r="U134" s="153"/>
      <c r="V134" s="153">
        <v>558</v>
      </c>
      <c r="W134" s="153" t="s">
        <v>417</v>
      </c>
      <c r="X134" s="153">
        <v>1453</v>
      </c>
      <c r="Y134" s="172">
        <v>1200</v>
      </c>
      <c r="Z134" s="5"/>
      <c r="AA134" s="5"/>
    </row>
    <row r="135" spans="1:27" s="1" customFormat="1" ht="76.5" customHeight="1" x14ac:dyDescent="0.25">
      <c r="A135" s="182">
        <v>129</v>
      </c>
      <c r="B135" s="214" t="s">
        <v>584</v>
      </c>
      <c r="C135" s="231" t="s">
        <v>586</v>
      </c>
      <c r="D135" s="241" t="s">
        <v>585</v>
      </c>
      <c r="E135" s="5" t="s">
        <v>33</v>
      </c>
      <c r="F135" s="194">
        <v>901027093</v>
      </c>
      <c r="G135" s="194"/>
      <c r="H135" s="194"/>
      <c r="I135" s="195">
        <v>9</v>
      </c>
      <c r="J135" s="177"/>
      <c r="K135" s="142"/>
      <c r="L135" s="142"/>
      <c r="M135" s="173"/>
      <c r="N135" s="143"/>
      <c r="O135" s="143"/>
      <c r="P135" s="143"/>
      <c r="Q135" s="175"/>
      <c r="R135" s="153">
        <v>426</v>
      </c>
      <c r="S135" s="153" t="s">
        <v>449</v>
      </c>
      <c r="T135" s="153">
        <v>1028</v>
      </c>
      <c r="U135" s="172">
        <v>12000</v>
      </c>
      <c r="V135" s="153">
        <v>560</v>
      </c>
      <c r="W135" s="153" t="s">
        <v>417</v>
      </c>
      <c r="X135" s="153">
        <v>1465</v>
      </c>
      <c r="Y135" s="172">
        <v>9600</v>
      </c>
      <c r="Z135" s="5"/>
      <c r="AA135" s="5"/>
    </row>
    <row r="136" spans="1:27" s="1" customFormat="1" ht="76.5" customHeight="1" x14ac:dyDescent="0.25">
      <c r="A136" s="182">
        <v>135</v>
      </c>
      <c r="B136" s="214" t="s">
        <v>651</v>
      </c>
      <c r="C136" s="231" t="s">
        <v>653</v>
      </c>
      <c r="D136" s="241" t="s">
        <v>652</v>
      </c>
      <c r="E136" s="5" t="s">
        <v>33</v>
      </c>
      <c r="F136" s="194">
        <v>902009354</v>
      </c>
      <c r="G136" s="194"/>
      <c r="H136" s="194"/>
      <c r="I136" s="195">
        <v>15</v>
      </c>
      <c r="J136" s="180" t="s">
        <v>654</v>
      </c>
      <c r="K136" s="143"/>
      <c r="L136" s="143"/>
      <c r="M136" s="175"/>
      <c r="N136" s="143" t="s">
        <v>655</v>
      </c>
      <c r="O136" s="153"/>
      <c r="P136" s="153"/>
      <c r="Q136" s="172"/>
      <c r="R136" s="153" t="s">
        <v>656</v>
      </c>
      <c r="S136" s="153"/>
      <c r="T136" s="153"/>
      <c r="U136" s="172"/>
      <c r="V136" s="153">
        <v>640</v>
      </c>
      <c r="W136" s="153" t="s">
        <v>456</v>
      </c>
      <c r="X136" s="153">
        <v>46</v>
      </c>
      <c r="Y136" s="172">
        <v>60000</v>
      </c>
      <c r="Z136" s="5"/>
      <c r="AA136" s="5"/>
    </row>
    <row r="137" spans="1:27" s="1" customFormat="1" x14ac:dyDescent="0.25">
      <c r="A137" s="349">
        <v>91</v>
      </c>
      <c r="B137" s="381" t="s">
        <v>74</v>
      </c>
      <c r="C137" s="384"/>
      <c r="D137" s="387" t="s">
        <v>650</v>
      </c>
      <c r="E137" s="390" t="s">
        <v>33</v>
      </c>
      <c r="F137" s="369">
        <v>2631018148</v>
      </c>
      <c r="G137" s="369"/>
      <c r="H137" s="360">
        <v>9</v>
      </c>
      <c r="I137" s="363">
        <v>16</v>
      </c>
      <c r="J137" s="179">
        <v>171</v>
      </c>
      <c r="K137" s="153" t="s">
        <v>416</v>
      </c>
      <c r="L137" s="154">
        <v>65</v>
      </c>
      <c r="M137" s="172">
        <v>4433.3100000000004</v>
      </c>
      <c r="N137" s="153">
        <v>284</v>
      </c>
      <c r="O137" s="153" t="s">
        <v>417</v>
      </c>
      <c r="P137" s="153">
        <v>1526</v>
      </c>
      <c r="Q137" s="172">
        <v>4333.3100000000004</v>
      </c>
      <c r="R137" s="153">
        <v>402</v>
      </c>
      <c r="S137" s="153" t="s">
        <v>417</v>
      </c>
      <c r="T137" s="153">
        <v>866</v>
      </c>
      <c r="U137" s="172">
        <v>4333.3100000000004</v>
      </c>
      <c r="V137" s="153">
        <v>515</v>
      </c>
      <c r="W137" s="26" t="s">
        <v>608</v>
      </c>
      <c r="X137" s="6">
        <v>1270</v>
      </c>
      <c r="Y137" s="6">
        <v>4333.3100000000004</v>
      </c>
      <c r="Z137" s="5"/>
      <c r="AA137" s="5"/>
    </row>
    <row r="138" spans="1:27" s="1" customFormat="1" x14ac:dyDescent="0.25">
      <c r="A138" s="349"/>
      <c r="B138" s="382"/>
      <c r="C138" s="385"/>
      <c r="D138" s="388"/>
      <c r="E138" s="391"/>
      <c r="F138" s="370"/>
      <c r="G138" s="370"/>
      <c r="H138" s="361"/>
      <c r="I138" s="364"/>
      <c r="J138" s="179">
        <v>190</v>
      </c>
      <c r="K138" s="143" t="s">
        <v>417</v>
      </c>
      <c r="L138" s="153">
        <v>187</v>
      </c>
      <c r="M138" s="172">
        <v>4433.3100000000004</v>
      </c>
      <c r="N138" s="153">
        <v>304</v>
      </c>
      <c r="O138" s="153" t="s">
        <v>518</v>
      </c>
      <c r="P138" s="153">
        <v>599</v>
      </c>
      <c r="Q138" s="172">
        <v>4333.3100000000004</v>
      </c>
      <c r="R138" s="153">
        <v>415</v>
      </c>
      <c r="S138" s="153" t="s">
        <v>417</v>
      </c>
      <c r="T138" s="153">
        <v>952</v>
      </c>
      <c r="U138" s="172">
        <v>4333.3100000000004</v>
      </c>
      <c r="V138" s="153">
        <v>541</v>
      </c>
      <c r="W138" s="6" t="s">
        <v>417</v>
      </c>
      <c r="X138" s="6">
        <v>1387</v>
      </c>
      <c r="Y138" s="6">
        <v>4333.3100000000004</v>
      </c>
      <c r="Z138" s="5"/>
      <c r="AA138" s="5"/>
    </row>
    <row r="139" spans="1:27" s="1" customFormat="1" ht="30" x14ac:dyDescent="0.25">
      <c r="A139" s="349"/>
      <c r="B139" s="383"/>
      <c r="C139" s="386"/>
      <c r="D139" s="389"/>
      <c r="E139" s="392"/>
      <c r="F139" s="371"/>
      <c r="G139" s="371"/>
      <c r="H139" s="362"/>
      <c r="I139" s="365"/>
      <c r="J139" s="179">
        <v>218</v>
      </c>
      <c r="K139" s="153" t="s">
        <v>417</v>
      </c>
      <c r="L139" s="153">
        <v>293</v>
      </c>
      <c r="M139" s="172">
        <v>15483.31</v>
      </c>
      <c r="N139" s="153">
        <v>320</v>
      </c>
      <c r="O139" s="153" t="s">
        <v>417</v>
      </c>
      <c r="P139" s="153">
        <v>671</v>
      </c>
      <c r="Q139" s="172">
        <v>15483.31</v>
      </c>
      <c r="R139" s="153">
        <v>443</v>
      </c>
      <c r="S139" s="153" t="s">
        <v>417</v>
      </c>
      <c r="T139" s="153">
        <v>1091</v>
      </c>
      <c r="U139" s="153">
        <v>14833.31</v>
      </c>
      <c r="V139" s="153">
        <v>599</v>
      </c>
      <c r="W139" s="6" t="s">
        <v>417</v>
      </c>
      <c r="X139" s="38" t="s">
        <v>642</v>
      </c>
      <c r="Y139" s="6">
        <v>16116.64</v>
      </c>
      <c r="Z139" s="75"/>
      <c r="AA139" s="75"/>
    </row>
    <row r="140" spans="1:27" s="1" customFormat="1" x14ac:dyDescent="0.25">
      <c r="A140" s="349">
        <v>92</v>
      </c>
      <c r="B140" s="372" t="s">
        <v>16</v>
      </c>
      <c r="C140" s="375" t="s">
        <v>90</v>
      </c>
      <c r="D140" s="372"/>
      <c r="E140" s="378"/>
      <c r="F140" s="369"/>
      <c r="G140" s="378">
        <v>56</v>
      </c>
      <c r="H140" s="360"/>
      <c r="I140" s="363"/>
      <c r="J140" s="179">
        <v>182</v>
      </c>
      <c r="K140" s="153" t="s">
        <v>417</v>
      </c>
      <c r="L140" s="153">
        <v>137</v>
      </c>
      <c r="M140" s="205">
        <v>2850</v>
      </c>
      <c r="N140" s="229"/>
      <c r="O140" s="229"/>
      <c r="P140" s="229"/>
      <c r="Q140" s="229"/>
      <c r="R140" s="229"/>
      <c r="S140" s="229"/>
      <c r="T140" s="229"/>
      <c r="U140" s="229"/>
      <c r="V140" s="229"/>
      <c r="W140" s="230"/>
      <c r="X140" s="230"/>
      <c r="Y140" s="230"/>
      <c r="Z140" s="5"/>
      <c r="AA140" s="5"/>
    </row>
    <row r="141" spans="1:27" s="1" customFormat="1" x14ac:dyDescent="0.25">
      <c r="A141" s="349"/>
      <c r="B141" s="373"/>
      <c r="C141" s="376"/>
      <c r="D141" s="373"/>
      <c r="E141" s="379"/>
      <c r="F141" s="370"/>
      <c r="G141" s="379"/>
      <c r="H141" s="361"/>
      <c r="I141" s="364"/>
      <c r="J141" s="179">
        <v>222</v>
      </c>
      <c r="K141" s="153" t="s">
        <v>417</v>
      </c>
      <c r="L141" s="153">
        <v>301</v>
      </c>
      <c r="M141" s="172">
        <v>1200</v>
      </c>
      <c r="N141" s="229"/>
      <c r="O141" s="229"/>
      <c r="P141" s="229"/>
      <c r="Q141" s="229"/>
      <c r="R141" s="229"/>
      <c r="S141" s="229"/>
      <c r="T141" s="229"/>
      <c r="U141" s="229"/>
      <c r="V141" s="229"/>
      <c r="W141" s="230"/>
      <c r="X141" s="230"/>
      <c r="Y141" s="230"/>
      <c r="Z141" s="5"/>
      <c r="AA141" s="5"/>
    </row>
    <row r="142" spans="1:27" s="1" customFormat="1" x14ac:dyDescent="0.25">
      <c r="A142" s="349"/>
      <c r="B142" s="374"/>
      <c r="C142" s="377"/>
      <c r="D142" s="374"/>
      <c r="E142" s="380"/>
      <c r="F142" s="371"/>
      <c r="G142" s="380"/>
      <c r="H142" s="362"/>
      <c r="I142" s="365"/>
      <c r="J142" s="179">
        <v>223</v>
      </c>
      <c r="K142" s="153" t="s">
        <v>417</v>
      </c>
      <c r="L142" s="153">
        <v>302</v>
      </c>
      <c r="M142" s="172">
        <v>1200</v>
      </c>
      <c r="N142" s="229"/>
      <c r="O142" s="229"/>
      <c r="P142" s="229"/>
      <c r="Q142" s="229"/>
      <c r="R142" s="229"/>
      <c r="S142" s="229"/>
      <c r="T142" s="229"/>
      <c r="U142" s="229"/>
      <c r="V142" s="229"/>
      <c r="W142" s="230"/>
      <c r="X142" s="230"/>
      <c r="Y142" s="230"/>
      <c r="Z142" s="5"/>
      <c r="AA142" s="5"/>
    </row>
    <row r="143" spans="1:27" s="1" customFormat="1" ht="15" customHeight="1" x14ac:dyDescent="0.25">
      <c r="A143" s="349">
        <v>93</v>
      </c>
      <c r="B143" s="402" t="s">
        <v>251</v>
      </c>
      <c r="C143" s="402" t="s">
        <v>252</v>
      </c>
      <c r="D143" s="405" t="s">
        <v>381</v>
      </c>
      <c r="E143" s="369" t="s">
        <v>33</v>
      </c>
      <c r="F143" s="369">
        <v>2617009102</v>
      </c>
      <c r="G143" s="393" t="s">
        <v>520</v>
      </c>
      <c r="H143" s="396"/>
      <c r="I143" s="399">
        <v>14</v>
      </c>
      <c r="J143" s="179">
        <v>188</v>
      </c>
      <c r="K143" s="153" t="s">
        <v>416</v>
      </c>
      <c r="L143" s="153">
        <v>183</v>
      </c>
      <c r="M143" s="172">
        <v>3600</v>
      </c>
      <c r="N143" s="153">
        <v>287</v>
      </c>
      <c r="O143" s="153" t="s">
        <v>417</v>
      </c>
      <c r="P143" s="153">
        <v>484</v>
      </c>
      <c r="Q143" s="172">
        <v>3600</v>
      </c>
      <c r="R143" s="143"/>
      <c r="S143" s="143"/>
      <c r="T143" s="143"/>
      <c r="U143" s="143"/>
      <c r="V143" s="143"/>
      <c r="W143" s="26"/>
      <c r="X143" s="26"/>
      <c r="Y143" s="26"/>
      <c r="Z143" s="5"/>
      <c r="AA143" s="5"/>
    </row>
    <row r="144" spans="1:27" s="1" customFormat="1" x14ac:dyDescent="0.25">
      <c r="A144" s="349"/>
      <c r="B144" s="403"/>
      <c r="C144" s="403"/>
      <c r="D144" s="406"/>
      <c r="E144" s="370"/>
      <c r="F144" s="370"/>
      <c r="G144" s="394"/>
      <c r="H144" s="397"/>
      <c r="I144" s="400"/>
      <c r="J144" s="179">
        <v>189</v>
      </c>
      <c r="K144" s="153" t="s">
        <v>417</v>
      </c>
      <c r="L144" s="153">
        <v>183</v>
      </c>
      <c r="M144" s="172">
        <v>3600</v>
      </c>
      <c r="N144" s="153">
        <v>308</v>
      </c>
      <c r="O144" s="153" t="s">
        <v>476</v>
      </c>
      <c r="P144" s="153">
        <v>613</v>
      </c>
      <c r="Q144" s="172">
        <v>3600</v>
      </c>
      <c r="R144" s="153">
        <v>424</v>
      </c>
      <c r="S144" s="153" t="s">
        <v>417</v>
      </c>
      <c r="T144" s="153">
        <v>1017</v>
      </c>
      <c r="U144" s="172">
        <v>7200</v>
      </c>
      <c r="V144" s="153">
        <v>542</v>
      </c>
      <c r="W144" s="153" t="s">
        <v>417</v>
      </c>
      <c r="X144" s="206">
        <v>1390</v>
      </c>
      <c r="Y144" s="172">
        <v>3600</v>
      </c>
      <c r="Z144" s="5"/>
      <c r="AA144" s="5"/>
    </row>
    <row r="145" spans="1:27" s="1" customFormat="1" ht="56.25" customHeight="1" x14ac:dyDescent="0.25">
      <c r="A145" s="349"/>
      <c r="B145" s="404"/>
      <c r="C145" s="404"/>
      <c r="D145" s="407"/>
      <c r="E145" s="371"/>
      <c r="F145" s="371"/>
      <c r="G145" s="395"/>
      <c r="H145" s="398"/>
      <c r="I145" s="401"/>
      <c r="J145" s="179">
        <v>219</v>
      </c>
      <c r="K145" s="153" t="s">
        <v>417</v>
      </c>
      <c r="L145" s="206" t="s">
        <v>482</v>
      </c>
      <c r="M145" s="172">
        <v>16800</v>
      </c>
      <c r="N145" s="153">
        <v>345</v>
      </c>
      <c r="O145" s="172" t="s">
        <v>417</v>
      </c>
      <c r="P145" s="206" t="s">
        <v>536</v>
      </c>
      <c r="Q145" s="172">
        <v>16800</v>
      </c>
      <c r="R145" s="153">
        <v>517</v>
      </c>
      <c r="S145" s="153" t="s">
        <v>417</v>
      </c>
      <c r="T145" s="206" t="s">
        <v>609</v>
      </c>
      <c r="U145" s="172">
        <v>20400</v>
      </c>
      <c r="V145" s="153">
        <v>633</v>
      </c>
      <c r="W145" s="153" t="s">
        <v>417</v>
      </c>
      <c r="X145" s="206" t="s">
        <v>648</v>
      </c>
      <c r="Y145" s="172">
        <v>16800</v>
      </c>
      <c r="Z145" s="5"/>
      <c r="AA145" s="5"/>
    </row>
    <row r="146" spans="1:27" x14ac:dyDescent="0.25">
      <c r="A146" s="185"/>
      <c r="B146" s="165"/>
      <c r="C146" s="3"/>
      <c r="D146" s="165"/>
      <c r="E146" s="3"/>
      <c r="F146" s="3"/>
      <c r="G146" s="3"/>
      <c r="H146" s="3"/>
      <c r="I146" s="186"/>
      <c r="J146" s="181"/>
      <c r="K146" s="3"/>
      <c r="L146" s="3"/>
      <c r="M146" s="174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x14ac:dyDescent="0.25">
      <c r="A147" s="185"/>
      <c r="B147" s="165"/>
      <c r="C147" s="3"/>
      <c r="D147" s="165"/>
      <c r="E147" s="3"/>
      <c r="F147" s="3"/>
      <c r="G147" s="3"/>
      <c r="H147" s="3"/>
      <c r="I147" s="186"/>
      <c r="J147" s="181"/>
      <c r="K147" s="3"/>
      <c r="L147" s="3"/>
      <c r="M147" s="174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ht="15.75" thickBot="1" x14ac:dyDescent="0.3">
      <c r="A148" s="187"/>
      <c r="B148" s="188"/>
      <c r="C148" s="189"/>
      <c r="D148" s="188"/>
      <c r="E148" s="189"/>
      <c r="F148" s="189"/>
      <c r="G148" s="189">
        <f>SUM(G1:G147)</f>
        <v>61</v>
      </c>
      <c r="H148" s="190">
        <f>SUM(H1:H147)</f>
        <v>325</v>
      </c>
      <c r="I148" s="191">
        <f>SUM(I1:I147)</f>
        <v>621</v>
      </c>
      <c r="J148" s="181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x14ac:dyDescent="0.25">
      <c r="H149">
        <v>1</v>
      </c>
      <c r="M149" s="198">
        <f>M138+M137+M65+M63+M60+M55+M54+M45+M32+M23+M21+M94+M139+M49+M7+M13+M25+M59+M57+M43+M88+M24+M140+M141+M142+M35+M14+M9+M5+M8+M4+M22+M87+M19+M29+M112+M92+M83+M124+M118+M116+M115+M113+M46+M42+M17+M122+M123+M120+M121+M18+M6+M37+M111+M110+M70+M28+M3+M44+M80+M53+M99+M66+M41+M51+M52+M10+M85+M76+M131+M143+M144+M145+M47+M48+M20+M11+M81+M38+M26+M77+M78+M104+M82+M114+M31+M95+M100+M56+M33+M826+M91+M61+M98+M69+M36+M30+M27+M96+M64+M79+M106+M67+M39+M84+M86+M34+M58+M68</f>
        <v>897549.92999999993</v>
      </c>
      <c r="O149" s="203"/>
      <c r="Q149" s="198">
        <f>Q143+Q18+Q138+Q38+Q1+Q104+Q139+Q68+Q60+Q55+Q49+Q47+Q43+Q14+Q13+Q144+Q32+Q86+Q56+Q25+Q61+Q69+Q23+Q80+Q90+Q22+Q82+Q7+Q65+Q46+Q45+Q42+Q36+Q30+Q27+Q24+Q20+Q111+Q110+Q88+Q83+Q8+Q112+Q6+Q145+Q64+Q114+Q134+Q79+Q41+Q33+Q72+Q95+Q92+Q3+Q89+Q59+Q28+Q124+Q121+Q119+Q118+Q116+Q115+Q123+Q122+Q120+Q106+Q31+Q78+Q66+Q85+Q19+Q39+Q52+Q51+Q10+Q5+Q137+Q101+Q97+Q84+Q34+Q102+Q57+Q108+Q100+Q67+Q21+Q126+Q99+Q77+Q9+Q26+Q91+Q87+Q98+Q94+Q133+Q81+Q63+Q131+Q17+Q48+Q76+Q96+Q11+Q70+Q103+Q107+Q44+Q113+Q73+Q29+Q35</f>
        <v>946993.27</v>
      </c>
      <c r="U149" s="198">
        <f>U137+U138+U62+U21+U144+U60+U47+U9+U135+U61+U14+U13+U18+U58+U55+U139+U59+U98+U68+U43+U65+U99+U83+U82+U79+U66+U63+U45+U8+U53+U104+U25+U19+U5+U23+U112+U92+U22+U78+U108+U85+U86+U80+U41+U20+U84+U56+U35+U105+U15+U88+U11+U121+U95+U77+U120+U114+U24+U132+U69+U111+U110+U46+U42+U17+U6+U122+U101+U39+U67+U128+U123+U97+U48+U131+U124+U118+U115+U81+U113+U70+U89+U103+U76+U107+U133+U96+U106+U73+U126+U31+U54+U91+U87+U29+U52+U51+U10+U28+U7+U27+U33+U30+U57+U90+U32+U94+U36+U26+U145+U100+U34+U119+U116+U127</f>
        <v>950583.2699999999</v>
      </c>
      <c r="Y149" s="198">
        <f>Y138+Y21+Y34+Y14+Y13+Y24+Y25+Y17+Y133+Y104+Y108+Y70+Y36+Y23+Y20+Y76+Y106+Y73+Y98+Y83+Y77+Y35+Y22+Y8+Y55+Y44+Y18+Y112+Y102+Y82+Y49+Y86+Y68+Y47+Y111+Y110+Y26+Y139+Y64+Y60+Y99+Y28+Y19+Y41+Y29+Y95+Y80+Y78+Y46+Y66+Y137+Y126+Y85+Y45+Y134+Y48+Y92+Y15+Y52+Y51+Y10+Y16+Y88+Y62+Y61+Y128+Y84+Y9+Y7+Y121+Y105+Y94+Y90+Y53+Y30+Y56+Y39+Y57+Y59+Y43+Y114+Y69+Y120+Y125+Y81+Y42+Y32+Y74+Y113+Y96+Y11+Y130+Y132+Y109+Y65+Y63+Y101+Y54+Y67+Y131+Y97+Y31+Y135+Y5+Y6+Y100+Y145+Y144+Y91+Y89+Y87+Y38+Y136+Y124+Y119+Y118+Y116+Y115+Y79+Y122</f>
        <v>1038266.6</v>
      </c>
    </row>
    <row r="150" spans="1:27" x14ac:dyDescent="0.25">
      <c r="M150" s="242"/>
      <c r="Q150" s="224">
        <f>Q4</f>
        <v>3600</v>
      </c>
      <c r="U150" s="224"/>
      <c r="Y150" s="224">
        <f>Y107</f>
        <v>4800</v>
      </c>
    </row>
    <row r="151" spans="1:27" x14ac:dyDescent="0.25">
      <c r="A151" s="9"/>
      <c r="B151" s="166" t="s">
        <v>55</v>
      </c>
      <c r="L151">
        <v>2018</v>
      </c>
      <c r="M151" s="198">
        <v>50400</v>
      </c>
    </row>
    <row r="152" spans="1:27" x14ac:dyDescent="0.25">
      <c r="A152" s="7"/>
      <c r="B152" s="166" t="s">
        <v>56</v>
      </c>
    </row>
    <row r="153" spans="1:27" x14ac:dyDescent="0.25">
      <c r="A153" s="197"/>
      <c r="B153" s="166" t="s">
        <v>508</v>
      </c>
      <c r="H153" s="237">
        <f>H5+H11+H48+H53+I54+I57+H57+H58+I58+H76+H81</f>
        <v>32</v>
      </c>
    </row>
    <row r="154" spans="1:27" x14ac:dyDescent="0.25">
      <c r="A154" s="219"/>
      <c r="B154" s="166" t="s">
        <v>509</v>
      </c>
      <c r="K154" t="s">
        <v>542</v>
      </c>
      <c r="L154" s="204">
        <v>43557</v>
      </c>
      <c r="M154" s="198">
        <v>101949.93</v>
      </c>
    </row>
    <row r="155" spans="1:27" x14ac:dyDescent="0.25">
      <c r="H155" s="82"/>
    </row>
    <row r="157" spans="1:27" x14ac:dyDescent="0.25">
      <c r="K157" t="s">
        <v>543</v>
      </c>
      <c r="L157" s="204">
        <v>43650</v>
      </c>
      <c r="M157" s="198">
        <v>690949.93</v>
      </c>
      <c r="P157" s="204">
        <v>43650</v>
      </c>
      <c r="Q157" s="198">
        <v>60616.62</v>
      </c>
      <c r="U157" s="198">
        <v>77699.929999999993</v>
      </c>
    </row>
    <row r="159" spans="1:27" x14ac:dyDescent="0.25">
      <c r="K159" t="s">
        <v>595</v>
      </c>
      <c r="L159" s="204">
        <v>43740</v>
      </c>
      <c r="M159" s="198">
        <v>181400</v>
      </c>
      <c r="Q159" s="198">
        <v>709976.65</v>
      </c>
    </row>
    <row r="162" spans="6:25" x14ac:dyDescent="0.25">
      <c r="I162">
        <v>16800</v>
      </c>
      <c r="K162" t="s">
        <v>600</v>
      </c>
      <c r="M162" s="198">
        <f>M149-M157-M159</f>
        <v>25199.999999999884</v>
      </c>
      <c r="Q162" s="198">
        <f>Q149-Q157-Q159</f>
        <v>176400</v>
      </c>
      <c r="U162" s="198">
        <f>U149-U157</f>
        <v>872883.33999999985</v>
      </c>
      <c r="W162" s="242"/>
      <c r="Y162" s="198">
        <f>Y149</f>
        <v>1038266.6</v>
      </c>
    </row>
    <row r="163" spans="6:25" x14ac:dyDescent="0.25">
      <c r="G163" s="7">
        <v>1061496.6499999999</v>
      </c>
      <c r="I163" s="198">
        <f>M162+Q162+U162+Y162-I162</f>
        <v>2095949.94</v>
      </c>
    </row>
    <row r="166" spans="6:25" x14ac:dyDescent="0.25">
      <c r="G166" t="s">
        <v>693</v>
      </c>
      <c r="I166" s="198">
        <v>780432.29</v>
      </c>
    </row>
    <row r="168" spans="6:25" x14ac:dyDescent="0.25">
      <c r="G168" t="s">
        <v>694</v>
      </c>
      <c r="I168" s="198">
        <v>162821</v>
      </c>
    </row>
    <row r="170" spans="6:25" x14ac:dyDescent="0.25">
      <c r="G170" t="s">
        <v>748</v>
      </c>
      <c r="I170" s="198">
        <v>82800</v>
      </c>
    </row>
    <row r="172" spans="6:25" x14ac:dyDescent="0.25">
      <c r="F172" s="203"/>
      <c r="G172" t="s">
        <v>1133</v>
      </c>
      <c r="I172" s="198">
        <f>I163-G163-I166-I168-I170</f>
        <v>8400</v>
      </c>
    </row>
    <row r="173" spans="6:25" x14ac:dyDescent="0.25">
      <c r="Q173" s="203"/>
      <c r="U173" s="203"/>
    </row>
  </sheetData>
  <sortState ref="A84:AA92">
    <sortCondition ref="B84:B92"/>
  </sortState>
  <mergeCells count="40">
    <mergeCell ref="G143:G145"/>
    <mergeCell ref="H143:H145"/>
    <mergeCell ref="I143:I145"/>
    <mergeCell ref="B143:B145"/>
    <mergeCell ref="A143:A145"/>
    <mergeCell ref="C143:C145"/>
    <mergeCell ref="D143:D145"/>
    <mergeCell ref="E143:E145"/>
    <mergeCell ref="F143:F145"/>
    <mergeCell ref="A137:A139"/>
    <mergeCell ref="G137:G139"/>
    <mergeCell ref="H137:H139"/>
    <mergeCell ref="I137:I139"/>
    <mergeCell ref="B140:B142"/>
    <mergeCell ref="C140:C142"/>
    <mergeCell ref="D140:D142"/>
    <mergeCell ref="E140:E142"/>
    <mergeCell ref="F140:F142"/>
    <mergeCell ref="G140:G142"/>
    <mergeCell ref="B137:B139"/>
    <mergeCell ref="C137:C139"/>
    <mergeCell ref="D137:D139"/>
    <mergeCell ref="E137:E139"/>
    <mergeCell ref="F137:F139"/>
    <mergeCell ref="V1:Y1"/>
    <mergeCell ref="A140:A14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H140:H142"/>
    <mergeCell ref="I140:I142"/>
    <mergeCell ref="J1:M1"/>
    <mergeCell ref="N1:Q1"/>
    <mergeCell ref="R1:U1"/>
  </mergeCells>
  <pageMargins left="0.7" right="0.7" top="0.75" bottom="0.75" header="0.3" footer="0.3"/>
  <pageSetup paperSize="9" scale="78" orientation="landscape" horizontalDpi="300" verticalDpi="300" r:id="rId1"/>
  <colBreaks count="1" manualBreakCount="1">
    <brk id="6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H183"/>
  <sheetViews>
    <sheetView zoomScale="85" zoomScaleNormal="85" workbookViewId="0">
      <pane xSplit="10" ySplit="2" topLeftCell="K162" activePane="bottomRight" state="frozen"/>
      <selection pane="topRight" activeCell="J1" sqref="J1"/>
      <selection pane="bottomLeft" activeCell="A3" sqref="A3"/>
      <selection pane="bottomRight" activeCell="J10" sqref="J10"/>
    </sheetView>
  </sheetViews>
  <sheetFormatPr defaultRowHeight="15" x14ac:dyDescent="0.25"/>
  <cols>
    <col min="1" max="1" width="6" customWidth="1"/>
    <col min="2" max="2" width="35.5703125" style="166" customWidth="1"/>
    <col min="3" max="3" width="39.140625" customWidth="1"/>
    <col min="4" max="4" width="25.7109375" style="166" customWidth="1"/>
    <col min="5" max="5" width="12" style="304" customWidth="1"/>
    <col min="6" max="6" width="14.140625" customWidth="1"/>
    <col min="7" max="7" width="15.5703125" customWidth="1"/>
    <col min="8" max="8" width="8.28515625" customWidth="1"/>
    <col min="9" max="9" width="8.42578125" customWidth="1"/>
    <col min="10" max="10" width="11.28515625" customWidth="1"/>
    <col min="12" max="12" width="8" customWidth="1"/>
    <col min="13" max="13" width="8.140625" customWidth="1"/>
    <col min="14" max="14" width="11" customWidth="1"/>
    <col min="15" max="15" width="2.140625" customWidth="1"/>
    <col min="18" max="18" width="10.28515625" bestFit="1" customWidth="1"/>
    <col min="19" max="19" width="5.5703125" style="61" customWidth="1"/>
    <col min="20" max="20" width="10.28515625" bestFit="1" customWidth="1"/>
    <col min="21" max="21" width="3" customWidth="1"/>
    <col min="25" max="25" width="4.5703125" customWidth="1"/>
    <col min="26" max="26" width="10.28515625" bestFit="1" customWidth="1"/>
    <col min="27" max="27" width="2.42578125" customWidth="1"/>
    <col min="29" max="29" width="10.28515625" bestFit="1" customWidth="1"/>
    <col min="32" max="32" width="2.5703125" customWidth="1"/>
  </cols>
  <sheetData>
    <row r="1" spans="1:34" ht="29.25" customHeight="1" x14ac:dyDescent="0.25">
      <c r="A1" s="350" t="s">
        <v>124</v>
      </c>
      <c r="B1" s="352" t="s">
        <v>125</v>
      </c>
      <c r="C1" s="354" t="s">
        <v>126</v>
      </c>
      <c r="D1" s="356" t="s">
        <v>127</v>
      </c>
      <c r="E1" s="427" t="s">
        <v>828</v>
      </c>
      <c r="F1" s="356" t="s">
        <v>129</v>
      </c>
      <c r="G1" s="356" t="s">
        <v>128</v>
      </c>
      <c r="H1" s="356" t="s">
        <v>263</v>
      </c>
      <c r="I1" s="356" t="s">
        <v>261</v>
      </c>
      <c r="J1" s="358" t="s">
        <v>262</v>
      </c>
      <c r="K1" s="366" t="s">
        <v>426</v>
      </c>
      <c r="L1" s="366"/>
      <c r="M1" s="366"/>
      <c r="N1" s="366"/>
      <c r="O1" s="281"/>
      <c r="P1" s="367" t="s">
        <v>427</v>
      </c>
      <c r="Q1" s="367"/>
      <c r="R1" s="367"/>
      <c r="S1" s="367"/>
      <c r="T1" s="367"/>
      <c r="U1" s="282"/>
      <c r="V1" s="368" t="s">
        <v>428</v>
      </c>
      <c r="W1" s="368"/>
      <c r="X1" s="368"/>
      <c r="Y1" s="368"/>
      <c r="Z1" s="368"/>
      <c r="AA1" s="283"/>
      <c r="AB1" s="348" t="s">
        <v>429</v>
      </c>
      <c r="AC1" s="348"/>
      <c r="AD1" s="348"/>
      <c r="AE1" s="348"/>
      <c r="AF1" s="280"/>
      <c r="AG1" s="122">
        <v>43831</v>
      </c>
      <c r="AH1" s="122">
        <v>43862</v>
      </c>
    </row>
    <row r="2" spans="1:34" x14ac:dyDescent="0.25">
      <c r="A2" s="351"/>
      <c r="B2" s="353"/>
      <c r="C2" s="355"/>
      <c r="D2" s="357"/>
      <c r="E2" s="428"/>
      <c r="F2" s="357"/>
      <c r="G2" s="357"/>
      <c r="H2" s="357"/>
      <c r="I2" s="357"/>
      <c r="J2" s="359"/>
      <c r="K2" s="123" t="s">
        <v>414</v>
      </c>
      <c r="L2" s="124" t="s">
        <v>413</v>
      </c>
      <c r="M2" s="124" t="s">
        <v>415</v>
      </c>
      <c r="N2" s="124" t="s">
        <v>407</v>
      </c>
      <c r="O2" s="124"/>
      <c r="P2" s="123" t="s">
        <v>414</v>
      </c>
      <c r="Q2" s="124" t="s">
        <v>413</v>
      </c>
      <c r="R2" s="124" t="s">
        <v>415</v>
      </c>
      <c r="S2" s="317"/>
      <c r="T2" s="124" t="s">
        <v>407</v>
      </c>
      <c r="U2" s="124"/>
      <c r="V2" s="123" t="s">
        <v>414</v>
      </c>
      <c r="W2" s="124" t="s">
        <v>413</v>
      </c>
      <c r="X2" s="124" t="s">
        <v>415</v>
      </c>
      <c r="Y2" s="124"/>
      <c r="Z2" s="124" t="s">
        <v>407</v>
      </c>
      <c r="AA2" s="124"/>
      <c r="AB2" s="123" t="s">
        <v>414</v>
      </c>
      <c r="AC2" s="124" t="s">
        <v>413</v>
      </c>
      <c r="AD2" s="124" t="s">
        <v>415</v>
      </c>
      <c r="AE2" s="124" t="s">
        <v>407</v>
      </c>
      <c r="AF2" s="124"/>
      <c r="AG2" s="72"/>
      <c r="AH2" s="72"/>
    </row>
    <row r="3" spans="1:34" s="1" customFormat="1" ht="64.5" customHeight="1" x14ac:dyDescent="0.25">
      <c r="A3" s="182">
        <v>1</v>
      </c>
      <c r="B3" s="258" t="s">
        <v>657</v>
      </c>
      <c r="C3" s="40" t="s">
        <v>893</v>
      </c>
      <c r="D3" s="93" t="s">
        <v>705</v>
      </c>
      <c r="E3" s="290">
        <v>44286</v>
      </c>
      <c r="F3" s="5" t="s">
        <v>33</v>
      </c>
      <c r="G3" s="5">
        <v>2635221863</v>
      </c>
      <c r="H3" s="5"/>
      <c r="I3" s="79">
        <v>4</v>
      </c>
      <c r="J3" s="183"/>
      <c r="K3" s="192">
        <v>723</v>
      </c>
      <c r="L3" s="153" t="s">
        <v>417</v>
      </c>
      <c r="M3" s="6">
        <v>331</v>
      </c>
      <c r="N3" s="260"/>
      <c r="O3" s="284">
        <f t="shared" ref="O3:O34" ca="1" si="0">ЦветЯчейки</f>
        <v>29</v>
      </c>
      <c r="P3" s="275" t="s">
        <v>799</v>
      </c>
      <c r="Q3" s="153" t="s">
        <v>417</v>
      </c>
      <c r="R3" s="142"/>
      <c r="S3" s="318"/>
      <c r="T3" s="260"/>
      <c r="U3" s="223">
        <f t="shared" ref="U3:U34" ca="1" si="1">ЦветЯчейки</f>
        <v>29</v>
      </c>
      <c r="V3" s="275" t="s">
        <v>1091</v>
      </c>
      <c r="W3" s="153" t="s">
        <v>417</v>
      </c>
      <c r="X3" s="75"/>
      <c r="Y3" s="75"/>
      <c r="Z3" s="260"/>
      <c r="AA3" s="75">
        <f ca="1">ЦветЯчейки</f>
        <v>29</v>
      </c>
      <c r="AB3" s="75"/>
      <c r="AC3" s="75"/>
      <c r="AD3" s="75"/>
      <c r="AE3" s="75"/>
      <c r="AF3" s="75">
        <f ca="1">ЦветЯчейки</f>
        <v>0</v>
      </c>
      <c r="AG3" s="5"/>
      <c r="AH3" s="5"/>
    </row>
    <row r="4" spans="1:34" s="1" customFormat="1" ht="74.25" customHeight="1" x14ac:dyDescent="0.25">
      <c r="A4" s="182">
        <v>2</v>
      </c>
      <c r="B4" s="258" t="s">
        <v>697</v>
      </c>
      <c r="C4" s="40" t="s">
        <v>894</v>
      </c>
      <c r="D4" s="93" t="s">
        <v>705</v>
      </c>
      <c r="E4" s="290">
        <v>44286</v>
      </c>
      <c r="F4" s="5" t="s">
        <v>33</v>
      </c>
      <c r="G4" s="5"/>
      <c r="H4" s="5"/>
      <c r="I4" s="79">
        <v>3</v>
      </c>
      <c r="J4" s="183"/>
      <c r="K4" s="192">
        <v>728</v>
      </c>
      <c r="L4" s="143" t="s">
        <v>417</v>
      </c>
      <c r="M4" s="6">
        <v>331</v>
      </c>
      <c r="N4" s="260"/>
      <c r="O4" s="284">
        <f t="shared" ca="1" si="0"/>
        <v>29</v>
      </c>
      <c r="P4" s="275" t="s">
        <v>777</v>
      </c>
      <c r="Q4" s="153" t="s">
        <v>417</v>
      </c>
      <c r="R4" s="75"/>
      <c r="S4" s="319"/>
      <c r="T4" s="260"/>
      <c r="U4" s="223">
        <f t="shared" ca="1" si="1"/>
        <v>29</v>
      </c>
      <c r="V4" s="275" t="s">
        <v>1090</v>
      </c>
      <c r="W4" s="153" t="s">
        <v>417</v>
      </c>
      <c r="X4" s="75"/>
      <c r="Y4" s="75"/>
      <c r="Z4" s="260"/>
      <c r="AA4" s="75">
        <f ca="1">ЦветЯчейки</f>
        <v>29</v>
      </c>
      <c r="AB4" s="75"/>
      <c r="AC4" s="75"/>
      <c r="AD4" s="75"/>
      <c r="AE4" s="75"/>
      <c r="AF4" s="75">
        <f ca="1">ЦветЯчейки</f>
        <v>0</v>
      </c>
      <c r="AG4" s="5"/>
      <c r="AH4" s="5"/>
    </row>
    <row r="5" spans="1:34" s="1" customFormat="1" ht="45" x14ac:dyDescent="0.25">
      <c r="A5" s="182">
        <v>3</v>
      </c>
      <c r="B5" s="155" t="s">
        <v>2</v>
      </c>
      <c r="C5" s="140" t="s">
        <v>895</v>
      </c>
      <c r="D5" s="221" t="s">
        <v>708</v>
      </c>
      <c r="E5" s="289">
        <v>44570</v>
      </c>
      <c r="F5" s="5" t="s">
        <v>33</v>
      </c>
      <c r="G5" s="5"/>
      <c r="H5" s="5"/>
      <c r="I5" s="78">
        <v>1</v>
      </c>
      <c r="J5" s="183"/>
      <c r="K5" s="179">
        <v>761</v>
      </c>
      <c r="L5" s="153" t="s">
        <v>417</v>
      </c>
      <c r="M5" s="153">
        <v>422</v>
      </c>
      <c r="N5" s="265">
        <v>1200</v>
      </c>
      <c r="O5" s="284">
        <f t="shared" ca="1" si="0"/>
        <v>43</v>
      </c>
      <c r="P5" s="275" t="s">
        <v>877</v>
      </c>
      <c r="Q5" s="143" t="s">
        <v>417</v>
      </c>
      <c r="R5" s="153">
        <v>734</v>
      </c>
      <c r="S5" s="270"/>
      <c r="T5" s="172">
        <v>1200</v>
      </c>
      <c r="U5" s="223">
        <f t="shared" ca="1" si="1"/>
        <v>43</v>
      </c>
      <c r="V5" s="142"/>
      <c r="W5" s="142"/>
      <c r="X5" s="142"/>
      <c r="Y5" s="142"/>
      <c r="Z5" s="173"/>
      <c r="AA5" s="75">
        <f ca="1">ЦветЯчейки</f>
        <v>0</v>
      </c>
      <c r="AB5" s="75"/>
      <c r="AC5" s="75"/>
      <c r="AD5" s="75"/>
      <c r="AE5" s="75"/>
      <c r="AF5" s="75">
        <f ca="1">ЦветЯчейки</f>
        <v>0</v>
      </c>
      <c r="AG5" s="5"/>
      <c r="AH5" s="5"/>
    </row>
    <row r="6" spans="1:34" s="1" customFormat="1" ht="75" x14ac:dyDescent="0.25">
      <c r="A6" s="182">
        <v>4</v>
      </c>
      <c r="B6" s="258" t="s">
        <v>658</v>
      </c>
      <c r="C6" s="40" t="s">
        <v>896</v>
      </c>
      <c r="D6" s="93" t="s">
        <v>705</v>
      </c>
      <c r="E6" s="290">
        <v>44286</v>
      </c>
      <c r="F6" s="5" t="s">
        <v>33</v>
      </c>
      <c r="G6" s="5">
        <v>2631017874</v>
      </c>
      <c r="H6" s="5"/>
      <c r="I6" s="79">
        <v>5</v>
      </c>
      <c r="J6" s="183"/>
      <c r="K6" s="179">
        <v>706</v>
      </c>
      <c r="L6" s="153" t="s">
        <v>417</v>
      </c>
      <c r="M6" s="153">
        <v>331</v>
      </c>
      <c r="N6" s="259"/>
      <c r="O6" s="284">
        <f t="shared" ca="1" si="0"/>
        <v>29</v>
      </c>
      <c r="P6" s="275" t="s">
        <v>775</v>
      </c>
      <c r="Q6" s="153" t="s">
        <v>417</v>
      </c>
      <c r="R6" s="142"/>
      <c r="S6" s="318"/>
      <c r="T6" s="259"/>
      <c r="U6" s="223">
        <f t="shared" ca="1" si="1"/>
        <v>29</v>
      </c>
      <c r="V6" s="275" t="s">
        <v>1089</v>
      </c>
      <c r="W6" s="153" t="s">
        <v>417</v>
      </c>
      <c r="X6" s="142"/>
      <c r="Y6" s="142"/>
      <c r="Z6" s="260"/>
      <c r="AA6" s="75">
        <f ca="1">ЦветЯчейки</f>
        <v>29</v>
      </c>
      <c r="AB6" s="177"/>
      <c r="AC6" s="75"/>
      <c r="AD6" s="75"/>
      <c r="AE6" s="75"/>
      <c r="AF6" s="75">
        <f ca="1">ЦветЯчейки</f>
        <v>0</v>
      </c>
      <c r="AG6" s="75"/>
      <c r="AH6" s="5"/>
    </row>
    <row r="7" spans="1:34" s="1" customFormat="1" ht="45" x14ac:dyDescent="0.25">
      <c r="A7" s="182">
        <v>5</v>
      </c>
      <c r="B7" s="155" t="s">
        <v>147</v>
      </c>
      <c r="C7" s="140" t="s">
        <v>897</v>
      </c>
      <c r="D7" s="93" t="s">
        <v>829</v>
      </c>
      <c r="E7" s="290">
        <v>44196</v>
      </c>
      <c r="F7" s="5" t="s">
        <v>33</v>
      </c>
      <c r="G7" s="5">
        <v>2634049360</v>
      </c>
      <c r="H7" s="5"/>
      <c r="I7" s="75">
        <v>16</v>
      </c>
      <c r="J7" s="183"/>
      <c r="K7" s="180">
        <v>708</v>
      </c>
      <c r="L7" s="153" t="s">
        <v>417</v>
      </c>
      <c r="M7" s="143">
        <v>322</v>
      </c>
      <c r="N7" s="263">
        <v>10400</v>
      </c>
      <c r="O7" s="284">
        <f t="shared" ca="1" si="0"/>
        <v>3</v>
      </c>
      <c r="P7" s="275" t="s">
        <v>761</v>
      </c>
      <c r="Q7" s="153" t="s">
        <v>417</v>
      </c>
      <c r="R7" s="153">
        <v>602</v>
      </c>
      <c r="S7" s="318"/>
      <c r="T7" s="172">
        <v>10400</v>
      </c>
      <c r="U7" s="223">
        <f t="shared" ca="1" si="1"/>
        <v>43</v>
      </c>
      <c r="V7" s="271" t="s">
        <v>1086</v>
      </c>
      <c r="W7" s="143" t="s">
        <v>417</v>
      </c>
      <c r="X7" s="143">
        <v>880</v>
      </c>
      <c r="Y7" s="318"/>
      <c r="Z7" s="175">
        <v>10400</v>
      </c>
      <c r="AA7" s="75">
        <f ca="1">ЦветЯчейки</f>
        <v>3</v>
      </c>
      <c r="AB7" s="142"/>
      <c r="AC7" s="75"/>
      <c r="AD7" s="75"/>
      <c r="AE7" s="75"/>
      <c r="AF7" s="75">
        <f ca="1">ЦветЯчейки</f>
        <v>0</v>
      </c>
      <c r="AG7" s="5"/>
      <c r="AH7" s="5"/>
    </row>
    <row r="8" spans="1:34" s="1" customFormat="1" ht="45" x14ac:dyDescent="0.25">
      <c r="A8" s="182">
        <v>6</v>
      </c>
      <c r="B8" s="155" t="s">
        <v>19</v>
      </c>
      <c r="C8" s="140" t="s">
        <v>898</v>
      </c>
      <c r="D8" s="221" t="s">
        <v>709</v>
      </c>
      <c r="E8" s="289">
        <v>44570</v>
      </c>
      <c r="F8" s="5" t="s">
        <v>33</v>
      </c>
      <c r="G8" s="5">
        <v>2631027142</v>
      </c>
      <c r="H8" s="5"/>
      <c r="I8" s="78">
        <v>1</v>
      </c>
      <c r="J8" s="183"/>
      <c r="K8" s="179">
        <v>751</v>
      </c>
      <c r="L8" s="153" t="s">
        <v>417</v>
      </c>
      <c r="M8" s="153">
        <v>407</v>
      </c>
      <c r="N8" s="265">
        <v>1200</v>
      </c>
      <c r="O8" s="284">
        <f t="shared" ca="1" si="0"/>
        <v>43</v>
      </c>
      <c r="P8" s="271" t="s">
        <v>805</v>
      </c>
      <c r="Q8" s="143" t="s">
        <v>417</v>
      </c>
      <c r="R8" s="143">
        <v>662</v>
      </c>
      <c r="S8" s="318"/>
      <c r="T8" s="175">
        <v>1200</v>
      </c>
      <c r="U8" s="223">
        <f t="shared" ca="1" si="1"/>
        <v>3</v>
      </c>
      <c r="V8" s="142"/>
      <c r="W8" s="142"/>
      <c r="X8" s="142"/>
      <c r="Y8" s="142"/>
      <c r="Z8" s="173"/>
      <c r="AA8" s="75">
        <f ca="1">ЦветЯчейки</f>
        <v>0</v>
      </c>
      <c r="AB8" s="75"/>
      <c r="AC8" s="75"/>
      <c r="AD8" s="75"/>
      <c r="AE8" s="75"/>
      <c r="AF8" s="75">
        <f ca="1">ЦветЯчейки</f>
        <v>0</v>
      </c>
      <c r="AG8" s="5"/>
      <c r="AH8" s="5"/>
    </row>
    <row r="9" spans="1:34" s="1" customFormat="1" ht="60" x14ac:dyDescent="0.25">
      <c r="A9" s="182">
        <v>7</v>
      </c>
      <c r="B9" s="156" t="s">
        <v>293</v>
      </c>
      <c r="C9" s="140" t="s">
        <v>899</v>
      </c>
      <c r="D9" s="221" t="s">
        <v>294</v>
      </c>
      <c r="E9" s="289">
        <v>44196</v>
      </c>
      <c r="F9" s="5" t="s">
        <v>33</v>
      </c>
      <c r="G9" s="5">
        <v>2631028107</v>
      </c>
      <c r="H9" s="5"/>
      <c r="I9" s="5">
        <v>1</v>
      </c>
      <c r="J9" s="183"/>
      <c r="K9" s="179">
        <v>762</v>
      </c>
      <c r="L9" s="153" t="s">
        <v>417</v>
      </c>
      <c r="M9" s="153">
        <v>424</v>
      </c>
      <c r="N9" s="172">
        <v>1200</v>
      </c>
      <c r="O9" s="284">
        <f t="shared" ca="1" si="0"/>
        <v>43</v>
      </c>
      <c r="P9" s="273" t="s">
        <v>794</v>
      </c>
      <c r="Q9" s="153" t="s">
        <v>417</v>
      </c>
      <c r="R9" s="153">
        <v>650</v>
      </c>
      <c r="S9" s="318"/>
      <c r="T9" s="172">
        <v>1200</v>
      </c>
      <c r="U9" s="223">
        <f t="shared" ca="1" si="1"/>
        <v>43</v>
      </c>
      <c r="V9" s="275" t="s">
        <v>1087</v>
      </c>
      <c r="W9" s="153" t="s">
        <v>417</v>
      </c>
      <c r="X9" s="153">
        <v>877</v>
      </c>
      <c r="Y9" s="270"/>
      <c r="Z9" s="172">
        <v>1200</v>
      </c>
      <c r="AA9" s="75">
        <f ca="1">ЦветЯчейки</f>
        <v>43</v>
      </c>
      <c r="AB9" s="142"/>
      <c r="AC9" s="75"/>
      <c r="AD9" s="75"/>
      <c r="AE9" s="75"/>
      <c r="AF9" s="75">
        <f ca="1">ЦветЯчейки</f>
        <v>0</v>
      </c>
      <c r="AG9" s="5"/>
      <c r="AH9" s="5"/>
    </row>
    <row r="10" spans="1:34" s="1" customFormat="1" ht="87.75" customHeight="1" x14ac:dyDescent="0.25">
      <c r="A10" s="182">
        <v>8</v>
      </c>
      <c r="B10" s="155" t="s">
        <v>347</v>
      </c>
      <c r="C10" s="140" t="s">
        <v>900</v>
      </c>
      <c r="D10" s="221" t="s">
        <v>349</v>
      </c>
      <c r="E10" s="289">
        <v>44196</v>
      </c>
      <c r="F10" s="5" t="s">
        <v>33</v>
      </c>
      <c r="G10" s="5">
        <v>2631030603</v>
      </c>
      <c r="H10" s="5"/>
      <c r="I10" s="5">
        <v>3</v>
      </c>
      <c r="J10" s="183"/>
      <c r="K10" s="179">
        <v>766</v>
      </c>
      <c r="L10" s="153" t="s">
        <v>417</v>
      </c>
      <c r="M10" s="153">
        <v>428</v>
      </c>
      <c r="N10" s="172">
        <v>3600</v>
      </c>
      <c r="O10" s="284">
        <f t="shared" ca="1" si="0"/>
        <v>43</v>
      </c>
      <c r="P10" s="275" t="s">
        <v>880</v>
      </c>
      <c r="Q10" s="153" t="s">
        <v>417</v>
      </c>
      <c r="R10" s="153">
        <v>741</v>
      </c>
      <c r="S10" s="270"/>
      <c r="T10" s="172">
        <v>3600</v>
      </c>
      <c r="U10" s="223">
        <f t="shared" ca="1" si="1"/>
        <v>43</v>
      </c>
      <c r="V10" s="275" t="s">
        <v>1123</v>
      </c>
      <c r="W10" s="153" t="s">
        <v>417</v>
      </c>
      <c r="X10" s="153">
        <v>956</v>
      </c>
      <c r="Y10" s="270"/>
      <c r="Z10" s="172">
        <v>3600</v>
      </c>
      <c r="AA10" s="75">
        <f ca="1">ЦветЯчейки</f>
        <v>43</v>
      </c>
      <c r="AB10" s="177"/>
      <c r="AC10" s="146"/>
      <c r="AD10" s="146"/>
      <c r="AE10" s="146"/>
      <c r="AF10" s="75">
        <f ca="1">ЦветЯчейки</f>
        <v>0</v>
      </c>
      <c r="AG10" s="5"/>
      <c r="AH10" s="5"/>
    </row>
    <row r="11" spans="1:34" s="1" customFormat="1" ht="45" x14ac:dyDescent="0.25">
      <c r="A11" s="182">
        <v>9</v>
      </c>
      <c r="B11" s="155" t="s">
        <v>28</v>
      </c>
      <c r="C11" s="140" t="s">
        <v>901</v>
      </c>
      <c r="D11" s="221" t="s">
        <v>674</v>
      </c>
      <c r="E11" s="289">
        <v>44561</v>
      </c>
      <c r="F11" s="5" t="s">
        <v>33</v>
      </c>
      <c r="G11" s="5">
        <v>2631027880</v>
      </c>
      <c r="H11" s="5"/>
      <c r="I11" s="78">
        <v>2</v>
      </c>
      <c r="J11" s="183"/>
      <c r="K11" s="179">
        <v>774</v>
      </c>
      <c r="L11" s="153" t="s">
        <v>417</v>
      </c>
      <c r="M11" s="153">
        <v>453</v>
      </c>
      <c r="N11" s="172">
        <v>2400</v>
      </c>
      <c r="O11" s="284">
        <f t="shared" ca="1" si="0"/>
        <v>43</v>
      </c>
      <c r="P11" s="275" t="s">
        <v>806</v>
      </c>
      <c r="Q11" s="153" t="s">
        <v>417</v>
      </c>
      <c r="R11" s="153">
        <v>663</v>
      </c>
      <c r="S11" s="270"/>
      <c r="T11" s="172">
        <v>2400</v>
      </c>
      <c r="U11" s="223">
        <f t="shared" ca="1" si="1"/>
        <v>43</v>
      </c>
      <c r="V11" s="271" t="s">
        <v>1211</v>
      </c>
      <c r="W11" s="143" t="s">
        <v>417</v>
      </c>
      <c r="X11" s="143">
        <v>1147</v>
      </c>
      <c r="Y11" s="318"/>
      <c r="Z11" s="175">
        <v>2400</v>
      </c>
      <c r="AA11" s="75">
        <f ca="1">ЦветЯчейки</f>
        <v>3</v>
      </c>
      <c r="AB11" s="75"/>
      <c r="AC11" s="75"/>
      <c r="AD11" s="75"/>
      <c r="AE11" s="75"/>
      <c r="AF11" s="75">
        <f ca="1">ЦветЯчейки</f>
        <v>0</v>
      </c>
      <c r="AG11" s="5"/>
      <c r="AH11" s="5"/>
    </row>
    <row r="12" spans="1:34" s="1" customFormat="1" x14ac:dyDescent="0.25">
      <c r="A12" s="182">
        <v>10</v>
      </c>
      <c r="B12" s="155" t="s">
        <v>130</v>
      </c>
      <c r="C12" s="141"/>
      <c r="D12" s="167"/>
      <c r="E12" s="291"/>
      <c r="F12" s="5"/>
      <c r="G12" s="5"/>
      <c r="H12" s="5"/>
      <c r="I12" s="5">
        <v>7</v>
      </c>
      <c r="J12" s="183"/>
      <c r="K12" s="177"/>
      <c r="L12" s="142"/>
      <c r="M12" s="142"/>
      <c r="N12" s="173"/>
      <c r="O12" s="284">
        <f t="shared" ca="1" si="0"/>
        <v>0</v>
      </c>
      <c r="P12" s="142"/>
      <c r="Q12" s="142"/>
      <c r="R12" s="142"/>
      <c r="S12" s="318"/>
      <c r="T12" s="142"/>
      <c r="U12" s="223">
        <f t="shared" ca="1" si="1"/>
        <v>0</v>
      </c>
      <c r="V12" s="142"/>
      <c r="W12" s="142"/>
      <c r="X12" s="142"/>
      <c r="Y12" s="142"/>
      <c r="Z12" s="142"/>
      <c r="AA12" s="75">
        <f ca="1">ЦветЯчейки</f>
        <v>0</v>
      </c>
      <c r="AB12" s="142"/>
      <c r="AC12" s="75"/>
      <c r="AD12" s="75"/>
      <c r="AE12" s="75"/>
      <c r="AF12" s="75">
        <f ca="1">ЦветЯчейки</f>
        <v>0</v>
      </c>
      <c r="AG12" s="5"/>
      <c r="AH12" s="5"/>
    </row>
    <row r="13" spans="1:34" s="1" customFormat="1" ht="45" x14ac:dyDescent="0.25">
      <c r="A13" s="182">
        <v>11</v>
      </c>
      <c r="B13" s="155" t="s">
        <v>24</v>
      </c>
      <c r="C13" s="140" t="s">
        <v>902</v>
      </c>
      <c r="D13" s="221" t="s">
        <v>712</v>
      </c>
      <c r="E13" s="289">
        <v>44570</v>
      </c>
      <c r="F13" s="5" t="s">
        <v>33</v>
      </c>
      <c r="G13" s="5">
        <v>2631009785</v>
      </c>
      <c r="H13" s="5"/>
      <c r="I13" s="78">
        <v>2</v>
      </c>
      <c r="J13" s="183"/>
      <c r="K13" s="179">
        <v>769</v>
      </c>
      <c r="L13" s="153" t="s">
        <v>711</v>
      </c>
      <c r="M13" s="153">
        <v>449</v>
      </c>
      <c r="N13" s="172">
        <v>2400</v>
      </c>
      <c r="O13" s="284">
        <f t="shared" ca="1" si="0"/>
        <v>43</v>
      </c>
      <c r="P13" s="273" t="s">
        <v>760</v>
      </c>
      <c r="Q13" s="153" t="s">
        <v>417</v>
      </c>
      <c r="R13" s="153">
        <v>611</v>
      </c>
      <c r="S13" s="318"/>
      <c r="T13" s="172">
        <v>2400</v>
      </c>
      <c r="U13" s="223">
        <f t="shared" ca="1" si="1"/>
        <v>43</v>
      </c>
      <c r="V13" s="276" t="s">
        <v>1075</v>
      </c>
      <c r="W13" s="153" t="s">
        <v>417</v>
      </c>
      <c r="X13" s="153">
        <v>859</v>
      </c>
      <c r="Y13" s="270"/>
      <c r="Z13" s="172">
        <v>2400</v>
      </c>
      <c r="AA13" s="75">
        <f ca="1">ЦветЯчейки</f>
        <v>43</v>
      </c>
      <c r="AB13" s="75"/>
      <c r="AC13" s="75"/>
      <c r="AD13" s="75"/>
      <c r="AE13" s="75"/>
      <c r="AF13" s="75">
        <f ca="1">ЦветЯчейки</f>
        <v>0</v>
      </c>
      <c r="AG13" s="5"/>
      <c r="AH13" s="5"/>
    </row>
    <row r="14" spans="1:34" s="1" customFormat="1" ht="60" x14ac:dyDescent="0.25">
      <c r="A14" s="182">
        <v>12</v>
      </c>
      <c r="B14" s="199" t="s">
        <v>155</v>
      </c>
      <c r="C14" s="200" t="s">
        <v>903</v>
      </c>
      <c r="D14" s="93" t="s">
        <v>830</v>
      </c>
      <c r="E14" s="290">
        <v>44196</v>
      </c>
      <c r="F14" s="5" t="s">
        <v>33</v>
      </c>
      <c r="G14" s="3">
        <v>2631016895</v>
      </c>
      <c r="H14" s="5"/>
      <c r="I14" s="78">
        <v>5</v>
      </c>
      <c r="J14" s="183"/>
      <c r="K14" s="192">
        <v>687</v>
      </c>
      <c r="L14" s="153" t="s">
        <v>417</v>
      </c>
      <c r="M14" s="6">
        <v>258</v>
      </c>
      <c r="N14" s="193">
        <v>6000</v>
      </c>
      <c r="O14" s="284">
        <f t="shared" ca="1" si="0"/>
        <v>43</v>
      </c>
      <c r="P14" s="273" t="s">
        <v>729</v>
      </c>
      <c r="Q14" s="153" t="s">
        <v>417</v>
      </c>
      <c r="R14" s="153">
        <v>542</v>
      </c>
      <c r="S14" s="318"/>
      <c r="T14" s="172">
        <v>6000</v>
      </c>
      <c r="U14" s="223">
        <f t="shared" ca="1" si="1"/>
        <v>43</v>
      </c>
      <c r="V14" s="275" t="s">
        <v>1088</v>
      </c>
      <c r="W14" s="153" t="s">
        <v>417</v>
      </c>
      <c r="X14" s="153">
        <v>878</v>
      </c>
      <c r="Y14" s="270"/>
      <c r="Z14" s="172">
        <v>6000</v>
      </c>
      <c r="AA14" s="75">
        <f ca="1">ЦветЯчейки</f>
        <v>43</v>
      </c>
      <c r="AB14" s="75"/>
      <c r="AC14" s="75"/>
      <c r="AD14" s="75"/>
      <c r="AE14" s="75"/>
      <c r="AF14" s="75">
        <f ca="1">ЦветЯчейки</f>
        <v>0</v>
      </c>
      <c r="AG14" s="5"/>
      <c r="AH14" s="5"/>
    </row>
    <row r="15" spans="1:34" s="1" customFormat="1" ht="61.5" customHeight="1" x14ac:dyDescent="0.25">
      <c r="A15" s="182">
        <v>13</v>
      </c>
      <c r="B15" s="199" t="s">
        <v>579</v>
      </c>
      <c r="C15" s="240" t="s">
        <v>904</v>
      </c>
      <c r="D15" s="221" t="s">
        <v>582</v>
      </c>
      <c r="E15" s="289">
        <v>44196</v>
      </c>
      <c r="F15" s="5" t="s">
        <v>33</v>
      </c>
      <c r="G15" s="3">
        <v>2610017369</v>
      </c>
      <c r="H15" s="5"/>
      <c r="I15" s="78"/>
      <c r="J15" s="183">
        <v>1</v>
      </c>
      <c r="K15" s="192">
        <v>750</v>
      </c>
      <c r="L15" s="153" t="s">
        <v>417</v>
      </c>
      <c r="M15" s="6">
        <v>406</v>
      </c>
      <c r="N15" s="193">
        <v>1200</v>
      </c>
      <c r="O15" s="284">
        <f t="shared" ca="1" si="0"/>
        <v>43</v>
      </c>
      <c r="P15" s="275" t="s">
        <v>801</v>
      </c>
      <c r="Q15" s="153" t="s">
        <v>417</v>
      </c>
      <c r="R15" s="153">
        <v>660</v>
      </c>
      <c r="S15" s="318"/>
      <c r="T15" s="172">
        <v>1200</v>
      </c>
      <c r="U15" s="223">
        <f t="shared" ca="1" si="1"/>
        <v>43</v>
      </c>
      <c r="V15" s="276" t="s">
        <v>1105</v>
      </c>
      <c r="W15" s="153" t="s">
        <v>417</v>
      </c>
      <c r="X15" s="153">
        <v>923</v>
      </c>
      <c r="Y15" s="270"/>
      <c r="Z15" s="172">
        <v>1200</v>
      </c>
      <c r="AA15" s="75">
        <f ca="1">ЦветЯчейки</f>
        <v>43</v>
      </c>
      <c r="AB15" s="75"/>
      <c r="AC15" s="75"/>
      <c r="AD15" s="75"/>
      <c r="AE15" s="75"/>
      <c r="AF15" s="75">
        <f ca="1">ЦветЯчейки</f>
        <v>0</v>
      </c>
      <c r="AG15" s="5"/>
      <c r="AH15" s="5"/>
    </row>
    <row r="16" spans="1:34" s="1" customFormat="1" ht="61.5" customHeight="1" x14ac:dyDescent="0.25">
      <c r="A16" s="182">
        <v>14</v>
      </c>
      <c r="B16" s="199" t="s">
        <v>633</v>
      </c>
      <c r="C16" s="240" t="s">
        <v>905</v>
      </c>
      <c r="D16" s="221" t="s">
        <v>635</v>
      </c>
      <c r="E16" s="289">
        <v>44561</v>
      </c>
      <c r="F16" s="5" t="s">
        <v>33</v>
      </c>
      <c r="G16" s="3">
        <v>2631034855</v>
      </c>
      <c r="H16" s="5"/>
      <c r="I16" s="78">
        <v>1</v>
      </c>
      <c r="J16" s="183"/>
      <c r="K16" s="179">
        <v>789</v>
      </c>
      <c r="L16" s="153" t="s">
        <v>417</v>
      </c>
      <c r="M16" s="153">
        <v>501</v>
      </c>
      <c r="N16" s="172">
        <v>1200</v>
      </c>
      <c r="O16" s="284">
        <f t="shared" ca="1" si="0"/>
        <v>43</v>
      </c>
      <c r="P16" s="275" t="s">
        <v>886</v>
      </c>
      <c r="Q16" s="153" t="s">
        <v>417</v>
      </c>
      <c r="R16" s="153">
        <v>748</v>
      </c>
      <c r="S16" s="270"/>
      <c r="T16" s="172">
        <v>1200</v>
      </c>
      <c r="U16" s="223">
        <f t="shared" ca="1" si="1"/>
        <v>43</v>
      </c>
      <c r="V16" s="177"/>
      <c r="W16" s="142"/>
      <c r="X16" s="142"/>
      <c r="Y16" s="142"/>
      <c r="Z16" s="173"/>
      <c r="AA16" s="75">
        <f ca="1">ЦветЯчейки</f>
        <v>0</v>
      </c>
      <c r="AB16" s="75"/>
      <c r="AC16" s="75"/>
      <c r="AD16" s="75"/>
      <c r="AE16" s="75"/>
      <c r="AF16" s="75">
        <f ca="1">ЦветЯчейки</f>
        <v>0</v>
      </c>
      <c r="AG16" s="5"/>
      <c r="AH16" s="5"/>
    </row>
    <row r="17" spans="1:34" s="1" customFormat="1" ht="105" x14ac:dyDescent="0.25">
      <c r="A17" s="182">
        <v>15</v>
      </c>
      <c r="B17" s="111" t="s">
        <v>180</v>
      </c>
      <c r="C17" s="147" t="s">
        <v>906</v>
      </c>
      <c r="D17" s="305" t="s">
        <v>1134</v>
      </c>
      <c r="E17" s="306"/>
      <c r="F17" s="5"/>
      <c r="G17" s="5">
        <v>2610005839</v>
      </c>
      <c r="H17" s="79"/>
      <c r="I17" s="212">
        <v>5</v>
      </c>
      <c r="J17" s="183"/>
      <c r="K17" s="179">
        <v>694</v>
      </c>
      <c r="L17" s="153" t="s">
        <v>417</v>
      </c>
      <c r="M17" s="153">
        <v>276</v>
      </c>
      <c r="N17" s="172">
        <v>6000</v>
      </c>
      <c r="O17" s="284">
        <f t="shared" ca="1" si="0"/>
        <v>43</v>
      </c>
      <c r="P17" s="273" t="s">
        <v>730</v>
      </c>
      <c r="Q17" s="153" t="s">
        <v>417</v>
      </c>
      <c r="R17" s="153">
        <v>543</v>
      </c>
      <c r="S17" s="318"/>
      <c r="T17" s="172">
        <v>6000</v>
      </c>
      <c r="U17" s="223">
        <f t="shared" ca="1" si="1"/>
        <v>43</v>
      </c>
      <c r="V17" s="276" t="s">
        <v>1110</v>
      </c>
      <c r="W17" s="153" t="s">
        <v>417</v>
      </c>
      <c r="X17" s="153">
        <v>938</v>
      </c>
      <c r="Y17" s="270"/>
      <c r="Z17" s="172">
        <v>6000</v>
      </c>
      <c r="AA17" s="75">
        <f ca="1">ЦветЯчейки</f>
        <v>43</v>
      </c>
      <c r="AB17" s="142"/>
      <c r="AC17" s="75"/>
      <c r="AD17" s="75"/>
      <c r="AE17" s="75"/>
      <c r="AF17" s="75">
        <f ca="1">ЦветЯчейки</f>
        <v>0</v>
      </c>
      <c r="AG17" s="5"/>
      <c r="AH17" s="5"/>
    </row>
    <row r="18" spans="1:34" s="1" customFormat="1" ht="75" x14ac:dyDescent="0.25">
      <c r="A18" s="182">
        <v>16</v>
      </c>
      <c r="B18" s="157" t="s">
        <v>522</v>
      </c>
      <c r="C18" s="147" t="s">
        <v>907</v>
      </c>
      <c r="D18" s="221" t="s">
        <v>523</v>
      </c>
      <c r="E18" s="289">
        <v>44196</v>
      </c>
      <c r="F18" s="5" t="s">
        <v>33</v>
      </c>
      <c r="G18" s="78">
        <v>261001587570</v>
      </c>
      <c r="H18" s="5"/>
      <c r="I18" s="75">
        <v>1</v>
      </c>
      <c r="J18" s="183"/>
      <c r="K18" s="179">
        <v>722</v>
      </c>
      <c r="L18" s="153" t="s">
        <v>417</v>
      </c>
      <c r="M18" s="153">
        <v>323</v>
      </c>
      <c r="N18" s="172">
        <v>1200</v>
      </c>
      <c r="O18" s="284">
        <f t="shared" ca="1" si="0"/>
        <v>43</v>
      </c>
      <c r="P18" s="270" t="s">
        <v>725</v>
      </c>
      <c r="Q18" s="153" t="s">
        <v>417</v>
      </c>
      <c r="R18" s="153">
        <v>544</v>
      </c>
      <c r="S18" s="318"/>
      <c r="T18" s="172">
        <v>1200</v>
      </c>
      <c r="U18" s="223">
        <f t="shared" ca="1" si="1"/>
        <v>43</v>
      </c>
      <c r="V18" s="270" t="s">
        <v>1151</v>
      </c>
      <c r="W18" s="153" t="s">
        <v>417</v>
      </c>
      <c r="X18" s="153">
        <v>999</v>
      </c>
      <c r="Y18" s="318"/>
      <c r="Z18" s="172">
        <v>1200</v>
      </c>
      <c r="AA18" s="75">
        <f ca="1">ЦветЯчейки</f>
        <v>43</v>
      </c>
      <c r="AB18" s="142"/>
      <c r="AC18" s="75"/>
      <c r="AD18" s="75"/>
      <c r="AE18" s="75"/>
      <c r="AF18" s="75">
        <f ca="1">ЦветЯчейки</f>
        <v>0</v>
      </c>
      <c r="AG18" s="5"/>
      <c r="AH18" s="5"/>
    </row>
    <row r="19" spans="1:34" s="1" customFormat="1" ht="60" x14ac:dyDescent="0.25">
      <c r="A19" s="182">
        <v>17</v>
      </c>
      <c r="B19" s="158" t="s">
        <v>289</v>
      </c>
      <c r="C19" s="17" t="s">
        <v>908</v>
      </c>
      <c r="D19" s="93" t="s">
        <v>831</v>
      </c>
      <c r="E19" s="290">
        <v>44196</v>
      </c>
      <c r="F19" s="5" t="s">
        <v>33</v>
      </c>
      <c r="G19" s="5">
        <v>2634049360</v>
      </c>
      <c r="H19" s="79"/>
      <c r="I19" s="78"/>
      <c r="J19" s="184">
        <v>209</v>
      </c>
      <c r="K19" s="239" t="s">
        <v>689</v>
      </c>
      <c r="L19" s="153" t="s">
        <v>417</v>
      </c>
      <c r="M19" s="153">
        <v>292</v>
      </c>
      <c r="N19" s="172">
        <v>170400</v>
      </c>
      <c r="O19" s="284">
        <f t="shared" ca="1" si="0"/>
        <v>43</v>
      </c>
      <c r="P19" s="275" t="s">
        <v>746</v>
      </c>
      <c r="Q19" s="153" t="s">
        <v>417</v>
      </c>
      <c r="R19" s="153">
        <v>591</v>
      </c>
      <c r="S19" s="270"/>
      <c r="T19" s="172">
        <v>170400</v>
      </c>
      <c r="U19" s="223">
        <f t="shared" ca="1" si="1"/>
        <v>43</v>
      </c>
      <c r="V19" s="276" t="s">
        <v>1100</v>
      </c>
      <c r="W19" s="153" t="s">
        <v>417</v>
      </c>
      <c r="X19" s="153">
        <v>893</v>
      </c>
      <c r="Y19" s="270"/>
      <c r="Z19" s="172">
        <v>173600</v>
      </c>
      <c r="AA19" s="75">
        <f ca="1">ЦветЯчейки</f>
        <v>43</v>
      </c>
      <c r="AB19" s="142"/>
      <c r="AC19" s="75"/>
      <c r="AD19" s="75"/>
      <c r="AE19" s="75"/>
      <c r="AF19" s="75">
        <f ca="1">ЦветЯчейки</f>
        <v>0</v>
      </c>
      <c r="AG19" s="5"/>
      <c r="AH19" s="5"/>
    </row>
    <row r="20" spans="1:34" s="1" customFormat="1" ht="60" x14ac:dyDescent="0.25">
      <c r="A20" s="182">
        <v>18</v>
      </c>
      <c r="B20" s="158" t="s">
        <v>387</v>
      </c>
      <c r="C20" s="17" t="s">
        <v>909</v>
      </c>
      <c r="D20" s="93" t="s">
        <v>832</v>
      </c>
      <c r="E20" s="290">
        <v>44196</v>
      </c>
      <c r="F20" s="5" t="s">
        <v>33</v>
      </c>
      <c r="G20" s="5">
        <v>2635077200</v>
      </c>
      <c r="H20" s="151"/>
      <c r="I20" s="78"/>
      <c r="J20" s="184">
        <v>12</v>
      </c>
      <c r="K20" s="179">
        <v>716</v>
      </c>
      <c r="L20" s="176" t="s">
        <v>417</v>
      </c>
      <c r="M20" s="153">
        <v>312</v>
      </c>
      <c r="N20" s="172">
        <v>14400</v>
      </c>
      <c r="O20" s="284">
        <f t="shared" ca="1" si="0"/>
        <v>43</v>
      </c>
      <c r="P20" s="275" t="s">
        <v>755</v>
      </c>
      <c r="Q20" s="153" t="s">
        <v>417</v>
      </c>
      <c r="R20" s="153">
        <v>596</v>
      </c>
      <c r="S20" s="270"/>
      <c r="T20" s="172">
        <v>14400</v>
      </c>
      <c r="U20" s="223">
        <f t="shared" ca="1" si="1"/>
        <v>43</v>
      </c>
      <c r="V20" s="270" t="s">
        <v>1101</v>
      </c>
      <c r="W20" s="153" t="s">
        <v>417</v>
      </c>
      <c r="X20" s="153">
        <v>894</v>
      </c>
      <c r="Y20" s="270"/>
      <c r="Z20" s="172">
        <v>14400</v>
      </c>
      <c r="AA20" s="75">
        <f ca="1">ЦветЯчейки</f>
        <v>43</v>
      </c>
      <c r="AB20" s="142"/>
      <c r="AC20" s="75"/>
      <c r="AD20" s="75"/>
      <c r="AE20" s="75"/>
      <c r="AF20" s="75">
        <f ca="1">ЦветЯчейки</f>
        <v>0</v>
      </c>
      <c r="AG20" s="5"/>
      <c r="AH20" s="5"/>
    </row>
    <row r="21" spans="1:34" s="1" customFormat="1" ht="60" x14ac:dyDescent="0.25">
      <c r="A21" s="182">
        <v>19</v>
      </c>
      <c r="B21" s="158" t="s">
        <v>165</v>
      </c>
      <c r="C21" s="17" t="s">
        <v>910</v>
      </c>
      <c r="D21" s="93" t="s">
        <v>833</v>
      </c>
      <c r="E21" s="290">
        <v>44196</v>
      </c>
      <c r="F21" s="5" t="s">
        <v>33</v>
      </c>
      <c r="G21" s="5">
        <v>2636041790</v>
      </c>
      <c r="H21" s="79"/>
      <c r="I21" s="78"/>
      <c r="J21" s="184">
        <v>2</v>
      </c>
      <c r="K21" s="179">
        <v>667</v>
      </c>
      <c r="L21" s="153" t="s">
        <v>417</v>
      </c>
      <c r="M21" s="153">
        <v>198</v>
      </c>
      <c r="N21" s="172">
        <v>2400</v>
      </c>
      <c r="O21" s="284">
        <f t="shared" ca="1" si="0"/>
        <v>43</v>
      </c>
      <c r="P21" s="270" t="s">
        <v>719</v>
      </c>
      <c r="Q21" s="153" t="s">
        <v>417</v>
      </c>
      <c r="R21" s="153">
        <v>505</v>
      </c>
      <c r="S21" s="318"/>
      <c r="T21" s="172">
        <v>2400</v>
      </c>
      <c r="U21" s="223">
        <f t="shared" ca="1" si="1"/>
        <v>43</v>
      </c>
      <c r="V21" s="270" t="s">
        <v>1065</v>
      </c>
      <c r="W21" s="153" t="s">
        <v>417</v>
      </c>
      <c r="X21" s="153">
        <v>844</v>
      </c>
      <c r="Y21" s="270"/>
      <c r="Z21" s="172">
        <v>2400</v>
      </c>
      <c r="AA21" s="75">
        <f ca="1">ЦветЯчейки</f>
        <v>43</v>
      </c>
      <c r="AB21" s="142"/>
      <c r="AC21" s="75"/>
      <c r="AD21" s="75"/>
      <c r="AE21" s="75"/>
      <c r="AF21" s="75">
        <f ca="1">ЦветЯчейки</f>
        <v>0</v>
      </c>
      <c r="AG21" s="5"/>
      <c r="AH21" s="5"/>
    </row>
    <row r="22" spans="1:34" s="1" customFormat="1" ht="75" x14ac:dyDescent="0.25">
      <c r="A22" s="182">
        <v>20</v>
      </c>
      <c r="B22" s="158" t="s">
        <v>182</v>
      </c>
      <c r="C22" s="17" t="s">
        <v>911</v>
      </c>
      <c r="D22" s="93" t="s">
        <v>834</v>
      </c>
      <c r="E22" s="290">
        <v>44196</v>
      </c>
      <c r="F22" s="5" t="s">
        <v>33</v>
      </c>
      <c r="G22" s="5">
        <v>2635070950</v>
      </c>
      <c r="H22" s="79"/>
      <c r="I22" s="79">
        <v>15</v>
      </c>
      <c r="J22" s="183">
        <v>6</v>
      </c>
      <c r="K22" s="179">
        <v>684</v>
      </c>
      <c r="L22" s="143" t="s">
        <v>455</v>
      </c>
      <c r="M22" s="153">
        <v>244</v>
      </c>
      <c r="N22" s="172">
        <v>22800</v>
      </c>
      <c r="O22" s="284">
        <f t="shared" ca="1" si="0"/>
        <v>43</v>
      </c>
      <c r="P22" s="270" t="s">
        <v>736</v>
      </c>
      <c r="Q22" s="153" t="s">
        <v>417</v>
      </c>
      <c r="R22" s="153">
        <v>558</v>
      </c>
      <c r="S22" s="318"/>
      <c r="T22" s="172">
        <v>22800</v>
      </c>
      <c r="U22" s="223">
        <f t="shared" ca="1" si="1"/>
        <v>43</v>
      </c>
      <c r="V22" s="270" t="s">
        <v>1111</v>
      </c>
      <c r="W22" s="153" t="s">
        <v>416</v>
      </c>
      <c r="X22" s="153">
        <v>926</v>
      </c>
      <c r="Y22" s="270"/>
      <c r="Z22" s="172">
        <v>22800</v>
      </c>
      <c r="AA22" s="75">
        <f ca="1">ЦветЯчейки</f>
        <v>43</v>
      </c>
      <c r="AB22" s="142"/>
      <c r="AC22" s="75"/>
      <c r="AD22" s="75"/>
      <c r="AE22" s="75"/>
      <c r="AF22" s="75">
        <f ca="1">ЦветЯчейки</f>
        <v>0</v>
      </c>
      <c r="AG22" s="5"/>
      <c r="AH22" s="5"/>
    </row>
    <row r="23" spans="1:34" s="1" customFormat="1" ht="45" x14ac:dyDescent="0.25">
      <c r="A23" s="182">
        <v>21</v>
      </c>
      <c r="B23" s="158" t="s">
        <v>209</v>
      </c>
      <c r="C23" s="17" t="s">
        <v>912</v>
      </c>
      <c r="D23" s="101" t="s">
        <v>835</v>
      </c>
      <c r="E23" s="288">
        <v>44196</v>
      </c>
      <c r="F23" s="5" t="s">
        <v>33</v>
      </c>
      <c r="G23" s="168">
        <v>2633005289</v>
      </c>
      <c r="H23" s="79"/>
      <c r="I23" s="170">
        <v>16</v>
      </c>
      <c r="J23" s="183"/>
      <c r="K23" s="179">
        <v>682</v>
      </c>
      <c r="L23" s="153" t="s">
        <v>435</v>
      </c>
      <c r="M23" s="153">
        <v>240</v>
      </c>
      <c r="N23" s="172">
        <v>16800</v>
      </c>
      <c r="O23" s="284">
        <f t="shared" ca="1" si="0"/>
        <v>43</v>
      </c>
      <c r="P23" s="270" t="s">
        <v>739</v>
      </c>
      <c r="Q23" s="153" t="s">
        <v>417</v>
      </c>
      <c r="R23" s="153">
        <v>556</v>
      </c>
      <c r="S23" s="318"/>
      <c r="T23" s="172">
        <v>20400</v>
      </c>
      <c r="U23" s="223">
        <f t="shared" ca="1" si="1"/>
        <v>43</v>
      </c>
      <c r="V23" s="270" t="s">
        <v>1106</v>
      </c>
      <c r="W23" s="153" t="s">
        <v>476</v>
      </c>
      <c r="X23" s="153">
        <v>934</v>
      </c>
      <c r="Y23" s="270"/>
      <c r="Z23" s="172">
        <v>20400</v>
      </c>
      <c r="AA23" s="75">
        <f ca="1">ЦветЯчейки</f>
        <v>43</v>
      </c>
      <c r="AB23" s="142"/>
      <c r="AC23" s="75"/>
      <c r="AD23" s="75"/>
      <c r="AE23" s="75"/>
      <c r="AF23" s="75">
        <f ca="1">ЦветЯчейки</f>
        <v>0</v>
      </c>
      <c r="AG23" s="5"/>
      <c r="AH23" s="5"/>
    </row>
    <row r="24" spans="1:34" s="1" customFormat="1" ht="60" x14ac:dyDescent="0.25">
      <c r="A24" s="182">
        <v>22</v>
      </c>
      <c r="B24" s="158" t="s">
        <v>168</v>
      </c>
      <c r="C24" s="17" t="s">
        <v>913</v>
      </c>
      <c r="D24" s="93" t="s">
        <v>836</v>
      </c>
      <c r="E24" s="290">
        <v>44196</v>
      </c>
      <c r="F24" s="5" t="s">
        <v>33</v>
      </c>
      <c r="G24" s="5">
        <v>2633005306</v>
      </c>
      <c r="H24" s="79"/>
      <c r="I24" s="79">
        <v>2</v>
      </c>
      <c r="J24" s="183"/>
      <c r="K24" s="179">
        <v>710</v>
      </c>
      <c r="L24" s="153" t="s">
        <v>417</v>
      </c>
      <c r="M24" s="153">
        <v>305</v>
      </c>
      <c r="N24" s="172">
        <v>2400</v>
      </c>
      <c r="O24" s="284">
        <f t="shared" ca="1" si="0"/>
        <v>43</v>
      </c>
      <c r="P24" s="270" t="s">
        <v>816</v>
      </c>
      <c r="Q24" s="153" t="s">
        <v>417</v>
      </c>
      <c r="R24" s="153">
        <v>680</v>
      </c>
      <c r="S24" s="270"/>
      <c r="T24" s="172">
        <v>2400</v>
      </c>
      <c r="U24" s="223">
        <f t="shared" ca="1" si="1"/>
        <v>43</v>
      </c>
      <c r="V24" s="268" t="s">
        <v>1172</v>
      </c>
      <c r="W24" s="143" t="s">
        <v>417</v>
      </c>
      <c r="X24" s="143">
        <v>1028</v>
      </c>
      <c r="Y24" s="318"/>
      <c r="Z24" s="175">
        <v>2400</v>
      </c>
      <c r="AA24" s="75">
        <f ca="1">ЦветЯчейки</f>
        <v>3</v>
      </c>
      <c r="AB24" s="142"/>
      <c r="AC24" s="75"/>
      <c r="AD24" s="75"/>
      <c r="AE24" s="75"/>
      <c r="AF24" s="75">
        <f ca="1">ЦветЯчейки</f>
        <v>0</v>
      </c>
      <c r="AG24" s="5"/>
      <c r="AH24" s="5"/>
    </row>
    <row r="25" spans="1:34" s="1" customFormat="1" ht="45" x14ac:dyDescent="0.25">
      <c r="A25" s="182">
        <v>23</v>
      </c>
      <c r="B25" s="158" t="s">
        <v>355</v>
      </c>
      <c r="C25" s="17" t="s">
        <v>914</v>
      </c>
      <c r="D25" s="93" t="s">
        <v>837</v>
      </c>
      <c r="E25" s="290">
        <v>44196</v>
      </c>
      <c r="F25" s="5" t="s">
        <v>33</v>
      </c>
      <c r="G25" s="5">
        <v>2635089936</v>
      </c>
      <c r="H25" s="79"/>
      <c r="I25" s="78">
        <v>3</v>
      </c>
      <c r="J25" s="183"/>
      <c r="K25" s="179">
        <v>714</v>
      </c>
      <c r="L25" s="153" t="s">
        <v>417</v>
      </c>
      <c r="M25" s="153">
        <v>310</v>
      </c>
      <c r="N25" s="172">
        <v>3600</v>
      </c>
      <c r="O25" s="284">
        <f t="shared" ca="1" si="0"/>
        <v>43</v>
      </c>
      <c r="P25" s="276" t="s">
        <v>759</v>
      </c>
      <c r="Q25" s="153" t="s">
        <v>417</v>
      </c>
      <c r="R25" s="153">
        <v>601</v>
      </c>
      <c r="S25" s="318"/>
      <c r="T25" s="172">
        <v>3600</v>
      </c>
      <c r="U25" s="223">
        <f t="shared" ca="1" si="1"/>
        <v>43</v>
      </c>
      <c r="V25" s="270" t="s">
        <v>1127</v>
      </c>
      <c r="W25" s="153" t="s">
        <v>417</v>
      </c>
      <c r="X25" s="153">
        <v>964</v>
      </c>
      <c r="Y25" s="270"/>
      <c r="Z25" s="172">
        <v>3600</v>
      </c>
      <c r="AA25" s="75">
        <f ca="1">ЦветЯчейки</f>
        <v>43</v>
      </c>
      <c r="AB25" s="142"/>
      <c r="AC25" s="75"/>
      <c r="AD25" s="75"/>
      <c r="AE25" s="75"/>
      <c r="AF25" s="75">
        <f ca="1">ЦветЯчейки</f>
        <v>0</v>
      </c>
      <c r="AG25" s="5"/>
      <c r="AH25" s="5"/>
    </row>
    <row r="26" spans="1:34" s="1" customFormat="1" ht="12" hidden="1" customHeight="1" x14ac:dyDescent="0.25">
      <c r="A26" s="182">
        <v>24</v>
      </c>
      <c r="B26" s="225" t="s">
        <v>224</v>
      </c>
      <c r="C26" s="25" t="s">
        <v>915</v>
      </c>
      <c r="D26" s="225"/>
      <c r="E26" s="293"/>
      <c r="F26" s="26"/>
      <c r="G26" s="26">
        <v>2633001950</v>
      </c>
      <c r="H26" s="79"/>
      <c r="I26" s="78"/>
      <c r="J26" s="183"/>
      <c r="K26" s="177"/>
      <c r="L26" s="142"/>
      <c r="M26" s="142"/>
      <c r="N26" s="173"/>
      <c r="O26" s="284">
        <f t="shared" ca="1" si="0"/>
        <v>0</v>
      </c>
      <c r="P26" s="142"/>
      <c r="Q26" s="142"/>
      <c r="R26" s="142"/>
      <c r="S26" s="318"/>
      <c r="T26" s="173"/>
      <c r="U26" s="223">
        <f t="shared" ca="1" si="1"/>
        <v>0</v>
      </c>
      <c r="V26" s="177"/>
      <c r="W26" s="142"/>
      <c r="X26" s="142"/>
      <c r="Y26" s="142"/>
      <c r="Z26" s="173"/>
      <c r="AA26" s="75">
        <f ca="1">ЦветЯчейки</f>
        <v>0</v>
      </c>
      <c r="AB26" s="142"/>
      <c r="AC26" s="75"/>
      <c r="AD26" s="75"/>
      <c r="AE26" s="75"/>
      <c r="AF26" s="75">
        <f ca="1">ЦветЯчейки</f>
        <v>0</v>
      </c>
      <c r="AG26" s="5"/>
      <c r="AH26" s="5"/>
    </row>
    <row r="27" spans="1:34" s="1" customFormat="1" ht="60" x14ac:dyDescent="0.25">
      <c r="A27" s="182">
        <v>25</v>
      </c>
      <c r="B27" s="158" t="s">
        <v>401</v>
      </c>
      <c r="C27" s="17" t="s">
        <v>1193</v>
      </c>
      <c r="D27" s="246" t="s">
        <v>838</v>
      </c>
      <c r="E27" s="334">
        <v>44196</v>
      </c>
      <c r="F27" s="5" t="s">
        <v>33</v>
      </c>
      <c r="G27" s="5">
        <v>2634067584</v>
      </c>
      <c r="H27" s="79"/>
      <c r="I27" s="78"/>
      <c r="J27" s="184">
        <v>2</v>
      </c>
      <c r="K27" s="179">
        <v>749</v>
      </c>
      <c r="L27" s="143" t="s">
        <v>435</v>
      </c>
      <c r="M27" s="153">
        <v>405</v>
      </c>
      <c r="N27" s="172">
        <v>2400</v>
      </c>
      <c r="O27" s="284">
        <f t="shared" ca="1" si="0"/>
        <v>43</v>
      </c>
      <c r="P27" s="270" t="s">
        <v>879</v>
      </c>
      <c r="Q27" s="153" t="s">
        <v>753</v>
      </c>
      <c r="R27" s="153">
        <v>737</v>
      </c>
      <c r="S27" s="270"/>
      <c r="T27" s="172">
        <v>2400</v>
      </c>
      <c r="U27" s="223">
        <f t="shared" ca="1" si="1"/>
        <v>43</v>
      </c>
      <c r="V27" s="270" t="s">
        <v>1181</v>
      </c>
      <c r="W27" s="153" t="s">
        <v>417</v>
      </c>
      <c r="X27" s="153">
        <v>1038</v>
      </c>
      <c r="Y27" s="270"/>
      <c r="Z27" s="172">
        <v>2400</v>
      </c>
      <c r="AA27" s="75">
        <f ca="1">ЦветЯчейки</f>
        <v>43</v>
      </c>
      <c r="AB27" s="142"/>
      <c r="AC27" s="75"/>
      <c r="AD27" s="75"/>
      <c r="AE27" s="75"/>
      <c r="AF27" s="75">
        <f ca="1">ЦветЯчейки</f>
        <v>0</v>
      </c>
      <c r="AG27" s="5"/>
      <c r="AH27" s="5"/>
    </row>
    <row r="28" spans="1:34" s="1" customFormat="1" ht="10.5" hidden="1" customHeight="1" x14ac:dyDescent="0.25">
      <c r="A28" s="182">
        <v>26</v>
      </c>
      <c r="B28" s="225" t="s">
        <v>215</v>
      </c>
      <c r="C28" s="25" t="s">
        <v>916</v>
      </c>
      <c r="D28" s="225" t="s">
        <v>700</v>
      </c>
      <c r="E28" s="293"/>
      <c r="F28" s="26"/>
      <c r="G28" s="26">
        <v>2636089294</v>
      </c>
      <c r="H28" s="79"/>
      <c r="I28" s="210"/>
      <c r="J28" s="211"/>
      <c r="K28" s="179">
        <v>735</v>
      </c>
      <c r="L28" s="153" t="s">
        <v>449</v>
      </c>
      <c r="M28" s="153">
        <v>368</v>
      </c>
      <c r="N28" s="172">
        <v>9100</v>
      </c>
      <c r="O28" s="284">
        <f t="shared" ca="1" si="0"/>
        <v>43</v>
      </c>
      <c r="P28" s="142"/>
      <c r="Q28" s="142"/>
      <c r="R28" s="142"/>
      <c r="S28" s="318"/>
      <c r="T28" s="173"/>
      <c r="U28" s="223">
        <f t="shared" ca="1" si="1"/>
        <v>0</v>
      </c>
      <c r="V28" s="142"/>
      <c r="W28" s="142"/>
      <c r="X28" s="142"/>
      <c r="Y28" s="142"/>
      <c r="Z28" s="142"/>
      <c r="AA28" s="75">
        <f ca="1">ЦветЯчейки</f>
        <v>0</v>
      </c>
      <c r="AB28" s="142"/>
      <c r="AC28" s="142"/>
      <c r="AD28" s="75"/>
      <c r="AE28" s="75"/>
      <c r="AF28" s="75">
        <f ca="1">ЦветЯчейки</f>
        <v>0</v>
      </c>
      <c r="AG28" s="5"/>
      <c r="AH28" s="5"/>
    </row>
    <row r="29" spans="1:34" s="1" customFormat="1" ht="75" x14ac:dyDescent="0.25">
      <c r="A29" s="182">
        <v>27</v>
      </c>
      <c r="B29" s="158" t="s">
        <v>10</v>
      </c>
      <c r="C29" s="17" t="s">
        <v>917</v>
      </c>
      <c r="D29" s="53" t="s">
        <v>706</v>
      </c>
      <c r="E29" s="294">
        <v>44185</v>
      </c>
      <c r="F29" s="5" t="s">
        <v>33</v>
      </c>
      <c r="G29" s="5">
        <v>2635221863</v>
      </c>
      <c r="H29" s="5"/>
      <c r="I29" s="79">
        <v>15</v>
      </c>
      <c r="J29" s="183"/>
      <c r="K29" s="180">
        <v>742</v>
      </c>
      <c r="L29" s="143" t="s">
        <v>417</v>
      </c>
      <c r="M29" s="143">
        <v>395</v>
      </c>
      <c r="N29" s="175">
        <v>18000</v>
      </c>
      <c r="O29" s="284">
        <f t="shared" ca="1" si="0"/>
        <v>3</v>
      </c>
      <c r="P29" s="268" t="s">
        <v>795</v>
      </c>
      <c r="Q29" s="143" t="s">
        <v>417</v>
      </c>
      <c r="R29" s="143">
        <v>652</v>
      </c>
      <c r="S29" s="318"/>
      <c r="T29" s="175">
        <v>18000</v>
      </c>
      <c r="U29" s="223">
        <f t="shared" ca="1" si="1"/>
        <v>3</v>
      </c>
      <c r="V29" s="268" t="s">
        <v>1167</v>
      </c>
      <c r="W29" s="143" t="s">
        <v>417</v>
      </c>
      <c r="X29" s="143">
        <v>1023</v>
      </c>
      <c r="Y29" s="318"/>
      <c r="Z29" s="175">
        <v>18000</v>
      </c>
      <c r="AA29" s="75">
        <f ca="1">ЦветЯчейки</f>
        <v>3</v>
      </c>
      <c r="AB29" s="142"/>
      <c r="AC29" s="75"/>
      <c r="AD29" s="75"/>
      <c r="AE29" s="75"/>
      <c r="AF29" s="75">
        <f ca="1">ЦветЯчейки</f>
        <v>0</v>
      </c>
      <c r="AG29" s="5"/>
      <c r="AH29" s="5"/>
    </row>
    <row r="30" spans="1:34" s="1" customFormat="1" ht="60" x14ac:dyDescent="0.25">
      <c r="A30" s="182">
        <v>28</v>
      </c>
      <c r="B30" s="158" t="s">
        <v>233</v>
      </c>
      <c r="C30" s="17" t="s">
        <v>918</v>
      </c>
      <c r="D30" s="93" t="s">
        <v>840</v>
      </c>
      <c r="E30" s="290">
        <v>44196</v>
      </c>
      <c r="F30" s="5" t="s">
        <v>33</v>
      </c>
      <c r="G30" s="75">
        <v>2633002721</v>
      </c>
      <c r="H30" s="79"/>
      <c r="I30" s="78"/>
      <c r="J30" s="184">
        <v>10</v>
      </c>
      <c r="K30" s="179">
        <v>711</v>
      </c>
      <c r="L30" s="153" t="s">
        <v>417</v>
      </c>
      <c r="M30" s="153">
        <v>306</v>
      </c>
      <c r="N30" s="172">
        <v>12000</v>
      </c>
      <c r="O30" s="284">
        <f t="shared" ca="1" si="0"/>
        <v>43</v>
      </c>
      <c r="P30" s="270" t="s">
        <v>780</v>
      </c>
      <c r="Q30" s="153" t="s">
        <v>417</v>
      </c>
      <c r="R30" s="153">
        <v>630</v>
      </c>
      <c r="S30" s="318"/>
      <c r="T30" s="172">
        <v>12000</v>
      </c>
      <c r="U30" s="223">
        <f t="shared" ca="1" si="1"/>
        <v>43</v>
      </c>
      <c r="V30" s="270" t="s">
        <v>1144</v>
      </c>
      <c r="W30" s="153" t="s">
        <v>417</v>
      </c>
      <c r="X30" s="153">
        <v>982</v>
      </c>
      <c r="Y30" s="270"/>
      <c r="Z30" s="172">
        <v>12000</v>
      </c>
      <c r="AA30" s="75">
        <f ca="1">ЦветЯчейки</f>
        <v>43</v>
      </c>
      <c r="AB30" s="142"/>
      <c r="AC30" s="75"/>
      <c r="AD30" s="75"/>
      <c r="AE30" s="75"/>
      <c r="AF30" s="75">
        <f ca="1">ЦветЯчейки</f>
        <v>0</v>
      </c>
      <c r="AG30" s="5"/>
      <c r="AH30" s="5"/>
    </row>
    <row r="31" spans="1:34" s="1" customFormat="1" ht="60" x14ac:dyDescent="0.25">
      <c r="A31" s="182">
        <v>29</v>
      </c>
      <c r="B31" s="159" t="s">
        <v>193</v>
      </c>
      <c r="C31" s="17" t="s">
        <v>919</v>
      </c>
      <c r="D31" s="93" t="s">
        <v>839</v>
      </c>
      <c r="E31" s="290">
        <v>44196</v>
      </c>
      <c r="F31" s="5" t="s">
        <v>33</v>
      </c>
      <c r="G31" s="5">
        <v>2633002440</v>
      </c>
      <c r="H31" s="79"/>
      <c r="I31" s="78">
        <v>5</v>
      </c>
      <c r="J31" s="183"/>
      <c r="K31" s="179">
        <v>719</v>
      </c>
      <c r="L31" s="153" t="s">
        <v>417</v>
      </c>
      <c r="M31" s="153">
        <v>316</v>
      </c>
      <c r="N31" s="172">
        <v>6000</v>
      </c>
      <c r="O31" s="284">
        <f t="shared" ca="1" si="0"/>
        <v>43</v>
      </c>
      <c r="P31" s="270" t="s">
        <v>754</v>
      </c>
      <c r="Q31" s="153" t="s">
        <v>417</v>
      </c>
      <c r="R31" s="153">
        <v>595</v>
      </c>
      <c r="S31" s="318"/>
      <c r="T31" s="172">
        <v>6000</v>
      </c>
      <c r="U31" s="223">
        <f t="shared" ca="1" si="1"/>
        <v>43</v>
      </c>
      <c r="V31" s="270" t="s">
        <v>1107</v>
      </c>
      <c r="W31" s="153" t="s">
        <v>417</v>
      </c>
      <c r="X31" s="153">
        <v>935</v>
      </c>
      <c r="Y31" s="270"/>
      <c r="Z31" s="172">
        <v>6000</v>
      </c>
      <c r="AA31" s="75">
        <f ca="1">ЦветЯчейки</f>
        <v>43</v>
      </c>
      <c r="AB31" s="142"/>
      <c r="AC31" s="75"/>
      <c r="AD31" s="75"/>
      <c r="AE31" s="75"/>
      <c r="AF31" s="75">
        <f ca="1">ЦветЯчейки</f>
        <v>0</v>
      </c>
      <c r="AG31" s="5"/>
      <c r="AH31" s="5"/>
    </row>
    <row r="32" spans="1:34" s="1" customFormat="1" ht="75" x14ac:dyDescent="0.25">
      <c r="A32" s="182">
        <v>30</v>
      </c>
      <c r="B32" s="160" t="s">
        <v>343</v>
      </c>
      <c r="C32" s="139" t="s">
        <v>920</v>
      </c>
      <c r="D32" s="138" t="s">
        <v>1176</v>
      </c>
      <c r="E32" s="295" t="s">
        <v>1177</v>
      </c>
      <c r="F32" s="5" t="s">
        <v>33</v>
      </c>
      <c r="G32" s="5">
        <v>2623015062</v>
      </c>
      <c r="H32" s="5"/>
      <c r="I32" s="5">
        <v>4</v>
      </c>
      <c r="J32" s="183"/>
      <c r="K32" s="179">
        <v>775</v>
      </c>
      <c r="L32" s="153" t="s">
        <v>417</v>
      </c>
      <c r="M32" s="153">
        <v>459</v>
      </c>
      <c r="N32" s="172">
        <v>9600</v>
      </c>
      <c r="O32" s="284">
        <f t="shared" ca="1" si="0"/>
        <v>43</v>
      </c>
      <c r="P32" s="270" t="s">
        <v>788</v>
      </c>
      <c r="Q32" s="153" t="s">
        <v>417</v>
      </c>
      <c r="R32" s="153">
        <v>641</v>
      </c>
      <c r="S32" s="318"/>
      <c r="T32" s="172">
        <v>4800</v>
      </c>
      <c r="U32" s="223">
        <f t="shared" ca="1" si="1"/>
        <v>43</v>
      </c>
      <c r="V32" s="268" t="s">
        <v>1184</v>
      </c>
      <c r="W32" s="143" t="s">
        <v>417</v>
      </c>
      <c r="X32" s="143">
        <v>1044</v>
      </c>
      <c r="Y32" s="318"/>
      <c r="Z32" s="175">
        <v>4800</v>
      </c>
      <c r="AA32" s="75">
        <f ca="1">ЦветЯчейки</f>
        <v>3</v>
      </c>
      <c r="AB32" s="142"/>
      <c r="AC32" s="75"/>
      <c r="AD32" s="75"/>
      <c r="AE32" s="75"/>
      <c r="AF32" s="75">
        <f ca="1">ЦветЯчейки</f>
        <v>0</v>
      </c>
      <c r="AG32" s="5"/>
      <c r="AH32" s="5"/>
    </row>
    <row r="33" spans="1:34" s="1" customFormat="1" ht="90" x14ac:dyDescent="0.25">
      <c r="A33" s="182">
        <v>31</v>
      </c>
      <c r="B33" s="158" t="s">
        <v>154</v>
      </c>
      <c r="C33" s="17" t="s">
        <v>921</v>
      </c>
      <c r="D33" s="93" t="s">
        <v>1072</v>
      </c>
      <c r="E33" s="290"/>
      <c r="F33" s="75"/>
      <c r="G33" s="5">
        <v>2633003193</v>
      </c>
      <c r="H33" s="5"/>
      <c r="I33" s="149">
        <v>20</v>
      </c>
      <c r="J33" s="183">
        <v>13</v>
      </c>
      <c r="K33" s="179">
        <v>673</v>
      </c>
      <c r="L33" s="153" t="s">
        <v>417</v>
      </c>
      <c r="M33" s="153">
        <v>222</v>
      </c>
      <c r="N33" s="172">
        <v>26400</v>
      </c>
      <c r="O33" s="284">
        <f t="shared" ca="1" si="0"/>
        <v>43</v>
      </c>
      <c r="P33" s="270" t="s">
        <v>718</v>
      </c>
      <c r="Q33" s="153" t="s">
        <v>417</v>
      </c>
      <c r="R33" s="153">
        <v>507</v>
      </c>
      <c r="S33" s="318"/>
      <c r="T33" s="172">
        <v>25200</v>
      </c>
      <c r="U33" s="223">
        <f t="shared" ca="1" si="1"/>
        <v>43</v>
      </c>
      <c r="V33" s="179">
        <v>349</v>
      </c>
      <c r="W33" s="143" t="s">
        <v>476</v>
      </c>
      <c r="X33" s="153">
        <v>856</v>
      </c>
      <c r="Y33" s="153"/>
      <c r="Z33" s="172">
        <v>22000</v>
      </c>
      <c r="AA33" s="75">
        <f ca="1">ЦветЯчейки</f>
        <v>43</v>
      </c>
      <c r="AB33" s="142"/>
      <c r="AC33" s="75"/>
      <c r="AD33" s="75"/>
      <c r="AE33" s="75"/>
      <c r="AF33" s="75">
        <f ca="1">ЦветЯчейки</f>
        <v>0</v>
      </c>
      <c r="AG33" s="5"/>
      <c r="AH33" s="5"/>
    </row>
    <row r="34" spans="1:34" s="1" customFormat="1" ht="120" x14ac:dyDescent="0.25">
      <c r="A34" s="182">
        <v>32</v>
      </c>
      <c r="B34" s="158" t="s">
        <v>463</v>
      </c>
      <c r="C34" s="17" t="s">
        <v>922</v>
      </c>
      <c r="D34" s="261" t="s">
        <v>1174</v>
      </c>
      <c r="E34" s="292"/>
      <c r="F34" s="75"/>
      <c r="G34" s="5">
        <v>2633001990</v>
      </c>
      <c r="H34" s="79"/>
      <c r="I34" s="78"/>
      <c r="J34" s="184">
        <v>13</v>
      </c>
      <c r="K34" s="179">
        <v>738</v>
      </c>
      <c r="L34" s="206" t="s">
        <v>417</v>
      </c>
      <c r="M34" s="153">
        <v>384</v>
      </c>
      <c r="N34" s="172">
        <v>8400</v>
      </c>
      <c r="O34" s="284">
        <f t="shared" ca="1" si="0"/>
        <v>43</v>
      </c>
      <c r="P34" s="270" t="s">
        <v>756</v>
      </c>
      <c r="Q34" s="143" t="s">
        <v>417</v>
      </c>
      <c r="R34" s="153">
        <v>597</v>
      </c>
      <c r="S34" s="318"/>
      <c r="T34" s="172">
        <v>8400</v>
      </c>
      <c r="U34" s="223">
        <f t="shared" ca="1" si="1"/>
        <v>43</v>
      </c>
      <c r="V34" s="272" t="s">
        <v>1180</v>
      </c>
      <c r="W34" s="143" t="s">
        <v>417</v>
      </c>
      <c r="X34" s="143">
        <v>1036</v>
      </c>
      <c r="Y34" s="318"/>
      <c r="Z34" s="175">
        <v>9100</v>
      </c>
      <c r="AA34" s="75">
        <f ca="1">ЦветЯчейки</f>
        <v>3</v>
      </c>
      <c r="AB34" s="142"/>
      <c r="AC34" s="75"/>
      <c r="AD34" s="75"/>
      <c r="AE34" s="75"/>
      <c r="AF34" s="75">
        <f ca="1">ЦветЯчейки</f>
        <v>0</v>
      </c>
      <c r="AG34" s="5"/>
      <c r="AH34" s="5"/>
    </row>
    <row r="35" spans="1:34" s="1" customFormat="1" ht="45" x14ac:dyDescent="0.25">
      <c r="A35" s="182">
        <v>33</v>
      </c>
      <c r="B35" s="158" t="s">
        <v>158</v>
      </c>
      <c r="C35" s="17" t="s">
        <v>923</v>
      </c>
      <c r="D35" s="93" t="s">
        <v>841</v>
      </c>
      <c r="E35" s="290">
        <v>44196</v>
      </c>
      <c r="F35" s="5" t="s">
        <v>33</v>
      </c>
      <c r="G35" s="5">
        <v>2636004646</v>
      </c>
      <c r="H35" s="79"/>
      <c r="I35" s="79"/>
      <c r="J35" s="183">
        <v>2</v>
      </c>
      <c r="K35" s="179">
        <v>692</v>
      </c>
      <c r="L35" s="153" t="s">
        <v>417</v>
      </c>
      <c r="M35" s="153">
        <v>275</v>
      </c>
      <c r="N35" s="172">
        <v>2400</v>
      </c>
      <c r="O35" s="284">
        <f ca="1">ЦветЯчейки</f>
        <v>43</v>
      </c>
      <c r="P35" s="273" t="s">
        <v>728</v>
      </c>
      <c r="Q35" s="153" t="s">
        <v>417</v>
      </c>
      <c r="R35" s="153">
        <v>524</v>
      </c>
      <c r="S35" s="318"/>
      <c r="T35" s="172">
        <v>2400</v>
      </c>
      <c r="U35" s="223">
        <f ca="1">ЦветЯчейки</f>
        <v>43</v>
      </c>
      <c r="V35" s="276" t="s">
        <v>1203</v>
      </c>
      <c r="W35" s="153" t="s">
        <v>417</v>
      </c>
      <c r="X35" s="153">
        <v>1111</v>
      </c>
      <c r="Y35" s="270"/>
      <c r="Z35" s="172">
        <v>2400</v>
      </c>
      <c r="AA35" s="75">
        <f t="shared" ref="AA35:AA66" ca="1" si="2">ЦветЯчейки</f>
        <v>43</v>
      </c>
      <c r="AB35" s="142"/>
      <c r="AC35" s="75"/>
      <c r="AD35" s="75"/>
      <c r="AE35" s="75"/>
      <c r="AF35" s="75">
        <f t="shared" ref="AF35:AF66" ca="1" si="3">ЦветЯчейки</f>
        <v>0</v>
      </c>
      <c r="AG35" s="5"/>
      <c r="AH35" s="5"/>
    </row>
    <row r="36" spans="1:34" s="1" customFormat="1" ht="60" x14ac:dyDescent="0.25">
      <c r="A36" s="182">
        <v>34</v>
      </c>
      <c r="B36" s="160" t="s">
        <v>236</v>
      </c>
      <c r="C36" s="139" t="s">
        <v>924</v>
      </c>
      <c r="D36" s="221" t="s">
        <v>238</v>
      </c>
      <c r="E36" s="289">
        <v>44196</v>
      </c>
      <c r="F36" s="5" t="s">
        <v>33</v>
      </c>
      <c r="G36" s="5">
        <v>2623018659</v>
      </c>
      <c r="H36" s="79"/>
      <c r="I36" s="78">
        <v>1</v>
      </c>
      <c r="J36" s="183"/>
      <c r="K36" s="273"/>
      <c r="L36" s="153"/>
      <c r="M36" s="153"/>
      <c r="N36" s="172"/>
      <c r="O36" s="284">
        <f ca="1">ЦветЯчейки</f>
        <v>43</v>
      </c>
      <c r="P36" s="276" t="s">
        <v>720</v>
      </c>
      <c r="Q36" s="153" t="s">
        <v>417</v>
      </c>
      <c r="R36" s="153">
        <v>508</v>
      </c>
      <c r="S36" s="318"/>
      <c r="T36" s="172">
        <v>2400</v>
      </c>
      <c r="U36" s="223">
        <f ca="1">ЦветЯчейки</f>
        <v>43</v>
      </c>
      <c r="V36" s="142"/>
      <c r="W36" s="142"/>
      <c r="X36" s="142"/>
      <c r="Y36" s="142"/>
      <c r="Z36" s="142"/>
      <c r="AA36" s="75">
        <f t="shared" ca="1" si="2"/>
        <v>0</v>
      </c>
      <c r="AB36" s="142"/>
      <c r="AC36" s="75"/>
      <c r="AD36" s="75"/>
      <c r="AE36" s="75"/>
      <c r="AF36" s="75">
        <f t="shared" ca="1" si="3"/>
        <v>0</v>
      </c>
      <c r="AG36" s="5"/>
      <c r="AH36" s="5"/>
    </row>
    <row r="37" spans="1:34" s="1" customFormat="1" ht="60" x14ac:dyDescent="0.25">
      <c r="A37" s="182">
        <v>35</v>
      </c>
      <c r="B37" s="158" t="s">
        <v>372</v>
      </c>
      <c r="C37" s="17" t="s">
        <v>925</v>
      </c>
      <c r="D37" s="221" t="s">
        <v>374</v>
      </c>
      <c r="E37" s="289">
        <v>44196</v>
      </c>
      <c r="F37" s="5" t="s">
        <v>33</v>
      </c>
      <c r="G37" s="5">
        <v>2636810075</v>
      </c>
      <c r="H37" s="79"/>
      <c r="I37" s="78">
        <v>1</v>
      </c>
      <c r="J37" s="183"/>
      <c r="K37" s="179">
        <v>770</v>
      </c>
      <c r="L37" s="153" t="s">
        <v>417</v>
      </c>
      <c r="M37" s="153">
        <v>450</v>
      </c>
      <c r="N37" s="172">
        <v>1200</v>
      </c>
      <c r="O37" s="284">
        <f ca="1">ЦветЯчейки</f>
        <v>43</v>
      </c>
      <c r="P37" s="276" t="s">
        <v>1042</v>
      </c>
      <c r="Q37" s="153" t="s">
        <v>417</v>
      </c>
      <c r="R37" s="153">
        <v>770</v>
      </c>
      <c r="S37" s="270"/>
      <c r="T37" s="172">
        <v>1200</v>
      </c>
      <c r="U37" s="223">
        <f ca="1">ЦветЯчейки</f>
        <v>43</v>
      </c>
      <c r="V37" s="177"/>
      <c r="W37" s="142"/>
      <c r="X37" s="142"/>
      <c r="Y37" s="142"/>
      <c r="Z37" s="173"/>
      <c r="AA37" s="75">
        <f t="shared" ca="1" si="2"/>
        <v>0</v>
      </c>
      <c r="AB37" s="142"/>
      <c r="AC37" s="75"/>
      <c r="AD37" s="75"/>
      <c r="AE37" s="75"/>
      <c r="AF37" s="75">
        <f t="shared" ca="1" si="3"/>
        <v>0</v>
      </c>
      <c r="AG37" s="5"/>
      <c r="AH37" s="5"/>
    </row>
    <row r="38" spans="1:34" s="1" customFormat="1" ht="45" x14ac:dyDescent="0.25">
      <c r="A38" s="182">
        <v>36</v>
      </c>
      <c r="B38" s="158" t="s">
        <v>749</v>
      </c>
      <c r="C38" s="17" t="s">
        <v>926</v>
      </c>
      <c r="D38" s="221" t="s">
        <v>750</v>
      </c>
      <c r="E38" s="289">
        <v>44561</v>
      </c>
      <c r="F38" s="75" t="s">
        <v>33</v>
      </c>
      <c r="G38" s="274" t="s">
        <v>751</v>
      </c>
      <c r="H38" s="148"/>
      <c r="I38" s="169">
        <v>2</v>
      </c>
      <c r="J38" s="183"/>
      <c r="K38" s="179"/>
      <c r="L38" s="153"/>
      <c r="M38" s="153"/>
      <c r="N38" s="172"/>
      <c r="O38" s="284">
        <f ca="1">ЦветЯчейки</f>
        <v>43</v>
      </c>
      <c r="P38" s="153"/>
      <c r="Q38" s="153"/>
      <c r="R38" s="153"/>
      <c r="S38" s="318"/>
      <c r="T38" s="153"/>
      <c r="U38" s="223">
        <f ca="1">ЦветЯчейки</f>
        <v>43</v>
      </c>
      <c r="V38" s="153"/>
      <c r="W38" s="153" t="s">
        <v>439</v>
      </c>
      <c r="X38" s="142"/>
      <c r="Y38" s="142"/>
      <c r="Z38" s="142"/>
      <c r="AA38" s="75">
        <f t="shared" ca="1" si="2"/>
        <v>0</v>
      </c>
      <c r="AB38" s="142"/>
      <c r="AC38" s="75"/>
      <c r="AD38" s="75"/>
      <c r="AE38" s="75"/>
      <c r="AF38" s="75">
        <f t="shared" ca="1" si="3"/>
        <v>0</v>
      </c>
      <c r="AG38" s="5"/>
      <c r="AH38" s="5"/>
    </row>
    <row r="39" spans="1:34" s="1" customFormat="1" ht="60" x14ac:dyDescent="0.25">
      <c r="A39" s="182">
        <v>37</v>
      </c>
      <c r="B39" s="159" t="s">
        <v>310</v>
      </c>
      <c r="C39" s="17" t="s">
        <v>927</v>
      </c>
      <c r="D39" s="221" t="s">
        <v>312</v>
      </c>
      <c r="E39" s="289">
        <v>44196</v>
      </c>
      <c r="F39" s="5" t="s">
        <v>33</v>
      </c>
      <c r="G39" s="5">
        <v>2636087924</v>
      </c>
      <c r="H39" s="5"/>
      <c r="I39" s="5">
        <v>1</v>
      </c>
      <c r="J39" s="183"/>
      <c r="K39" s="179">
        <v>771</v>
      </c>
      <c r="L39" s="153" t="s">
        <v>417</v>
      </c>
      <c r="M39" s="153">
        <v>451</v>
      </c>
      <c r="N39" s="172">
        <v>1200</v>
      </c>
      <c r="O39" s="284">
        <f ca="1">ЦветЯчейки</f>
        <v>43</v>
      </c>
      <c r="P39" s="276" t="s">
        <v>870</v>
      </c>
      <c r="Q39" s="153" t="s">
        <v>417</v>
      </c>
      <c r="R39" s="153">
        <v>703</v>
      </c>
      <c r="S39" s="270"/>
      <c r="T39" s="172">
        <v>1200</v>
      </c>
      <c r="U39" s="223">
        <f ca="1">ЦветЯчейки</f>
        <v>43</v>
      </c>
      <c r="V39" s="276" t="s">
        <v>1149</v>
      </c>
      <c r="W39" s="153" t="s">
        <v>417</v>
      </c>
      <c r="X39" s="153">
        <v>994</v>
      </c>
      <c r="Y39" s="270"/>
      <c r="Z39" s="172">
        <v>1200</v>
      </c>
      <c r="AA39" s="75">
        <f t="shared" ca="1" si="2"/>
        <v>43</v>
      </c>
      <c r="AB39" s="142"/>
      <c r="AC39" s="75"/>
      <c r="AD39" s="75"/>
      <c r="AE39" s="75"/>
      <c r="AF39" s="75">
        <f t="shared" ca="1" si="3"/>
        <v>0</v>
      </c>
      <c r="AG39" s="5"/>
      <c r="AH39" s="5"/>
    </row>
    <row r="40" spans="1:34" s="1" customFormat="1" ht="45" x14ac:dyDescent="0.25">
      <c r="A40" s="182">
        <v>38</v>
      </c>
      <c r="B40" s="158" t="s">
        <v>408</v>
      </c>
      <c r="C40" s="202" t="s">
        <v>928</v>
      </c>
      <c r="D40" s="221" t="s">
        <v>411</v>
      </c>
      <c r="E40" s="289">
        <v>44196</v>
      </c>
      <c r="F40" s="5" t="s">
        <v>33</v>
      </c>
      <c r="G40" s="5">
        <v>2635083892</v>
      </c>
      <c r="H40" s="79"/>
      <c r="I40" s="78">
        <v>1</v>
      </c>
      <c r="J40" s="184"/>
      <c r="K40" s="179">
        <v>755</v>
      </c>
      <c r="L40" s="153" t="s">
        <v>416</v>
      </c>
      <c r="M40" s="206" t="s">
        <v>707</v>
      </c>
      <c r="N40" s="172">
        <v>1200</v>
      </c>
      <c r="O40" s="284">
        <f ca="1">ЦветЯчейки</f>
        <v>43</v>
      </c>
      <c r="P40" s="276" t="s">
        <v>797</v>
      </c>
      <c r="Q40" s="153" t="s">
        <v>417</v>
      </c>
      <c r="R40" s="153">
        <v>655</v>
      </c>
      <c r="S40" s="270"/>
      <c r="T40" s="172">
        <v>1200</v>
      </c>
      <c r="U40" s="223">
        <f ca="1">ЦветЯчейки</f>
        <v>43</v>
      </c>
      <c r="V40" s="276" t="s">
        <v>1171</v>
      </c>
      <c r="W40" s="153" t="s">
        <v>417</v>
      </c>
      <c r="X40" s="153">
        <v>1026</v>
      </c>
      <c r="Y40" s="270"/>
      <c r="Z40" s="172">
        <v>1200</v>
      </c>
      <c r="AA40" s="75">
        <f t="shared" ca="1" si="2"/>
        <v>43</v>
      </c>
      <c r="AB40" s="142"/>
      <c r="AC40" s="75"/>
      <c r="AD40" s="75"/>
      <c r="AE40" s="75"/>
      <c r="AF40" s="75">
        <f t="shared" ca="1" si="3"/>
        <v>0</v>
      </c>
      <c r="AG40" s="5"/>
      <c r="AH40" s="5"/>
    </row>
    <row r="41" spans="1:34" s="1" customFormat="1" ht="60" x14ac:dyDescent="0.25">
      <c r="A41" s="182">
        <v>39</v>
      </c>
      <c r="B41" s="158" t="s">
        <v>171</v>
      </c>
      <c r="C41" s="17" t="s">
        <v>929</v>
      </c>
      <c r="D41" s="221" t="s">
        <v>173</v>
      </c>
      <c r="E41" s="289">
        <v>44196</v>
      </c>
      <c r="F41" s="5" t="s">
        <v>33</v>
      </c>
      <c r="G41" s="5">
        <v>2635085339</v>
      </c>
      <c r="H41" s="79"/>
      <c r="I41" s="78">
        <v>1</v>
      </c>
      <c r="J41" s="183">
        <v>1</v>
      </c>
      <c r="K41" s="179">
        <v>736</v>
      </c>
      <c r="L41" s="153" t="s">
        <v>417</v>
      </c>
      <c r="M41" s="153">
        <v>369</v>
      </c>
      <c r="N41" s="172">
        <v>2400</v>
      </c>
      <c r="O41" s="284">
        <f ca="1">ЦветЯчейки</f>
        <v>43</v>
      </c>
      <c r="P41" s="276" t="s">
        <v>811</v>
      </c>
      <c r="Q41" s="153" t="s">
        <v>417</v>
      </c>
      <c r="R41" s="153">
        <v>671</v>
      </c>
      <c r="S41" s="318"/>
      <c r="T41" s="172">
        <v>2400</v>
      </c>
      <c r="U41" s="223">
        <f ca="1">ЦветЯчейки</f>
        <v>43</v>
      </c>
      <c r="V41" s="272" t="s">
        <v>1142</v>
      </c>
      <c r="W41" s="143" t="s">
        <v>417</v>
      </c>
      <c r="X41" s="143">
        <v>992</v>
      </c>
      <c r="Y41" s="318"/>
      <c r="Z41" s="175">
        <v>2400</v>
      </c>
      <c r="AA41" s="75">
        <f t="shared" ca="1" si="2"/>
        <v>3</v>
      </c>
      <c r="AB41" s="142"/>
      <c r="AC41" s="75"/>
      <c r="AD41" s="75"/>
      <c r="AE41" s="75"/>
      <c r="AF41" s="75">
        <f t="shared" ca="1" si="3"/>
        <v>0</v>
      </c>
      <c r="AG41" s="5"/>
      <c r="AH41" s="5"/>
    </row>
    <row r="42" spans="1:34" s="1" customFormat="1" ht="60" x14ac:dyDescent="0.25">
      <c r="A42" s="182">
        <v>40</v>
      </c>
      <c r="B42" s="159" t="s">
        <v>279</v>
      </c>
      <c r="C42" s="17" t="s">
        <v>930</v>
      </c>
      <c r="D42" s="221" t="s">
        <v>275</v>
      </c>
      <c r="E42" s="289">
        <v>44196</v>
      </c>
      <c r="F42" s="5" t="s">
        <v>33</v>
      </c>
      <c r="G42" s="5">
        <v>2634063413</v>
      </c>
      <c r="H42" s="5"/>
      <c r="I42" s="75">
        <v>2</v>
      </c>
      <c r="J42" s="183"/>
      <c r="K42" s="179"/>
      <c r="L42" s="153"/>
      <c r="M42" s="153"/>
      <c r="N42" s="172"/>
      <c r="O42" s="324">
        <f ca="1">ЦветЯчейки</f>
        <v>43</v>
      </c>
      <c r="P42" s="276" t="s">
        <v>1061</v>
      </c>
      <c r="Q42" s="153" t="s">
        <v>417</v>
      </c>
      <c r="R42" s="153">
        <v>800</v>
      </c>
      <c r="S42" s="270"/>
      <c r="T42" s="172">
        <v>4800</v>
      </c>
      <c r="U42" s="223">
        <f ca="1">ЦветЯчейки</f>
        <v>43</v>
      </c>
      <c r="V42" s="320"/>
      <c r="W42" s="142"/>
      <c r="X42" s="142"/>
      <c r="Y42" s="318"/>
      <c r="Z42" s="173"/>
      <c r="AA42" s="75">
        <f t="shared" ca="1" si="2"/>
        <v>0</v>
      </c>
      <c r="AB42" s="142"/>
      <c r="AC42" s="75"/>
      <c r="AD42" s="75"/>
      <c r="AE42" s="75"/>
      <c r="AF42" s="75">
        <f t="shared" ca="1" si="3"/>
        <v>0</v>
      </c>
      <c r="AG42" s="5"/>
      <c r="AH42" s="5"/>
    </row>
    <row r="43" spans="1:34" s="1" customFormat="1" ht="75" x14ac:dyDescent="0.25">
      <c r="A43" s="182">
        <v>41</v>
      </c>
      <c r="B43" s="158" t="s">
        <v>184</v>
      </c>
      <c r="C43" s="17" t="s">
        <v>931</v>
      </c>
      <c r="D43" s="221" t="s">
        <v>185</v>
      </c>
      <c r="E43" s="289">
        <v>44196</v>
      </c>
      <c r="F43" s="5" t="s">
        <v>33</v>
      </c>
      <c r="G43" s="5">
        <v>2635101220</v>
      </c>
      <c r="H43" s="79"/>
      <c r="I43" s="78"/>
      <c r="J43" s="183">
        <v>1</v>
      </c>
      <c r="K43" s="179">
        <v>758</v>
      </c>
      <c r="L43" s="153" t="s">
        <v>417</v>
      </c>
      <c r="M43" s="153">
        <v>419</v>
      </c>
      <c r="N43" s="172">
        <v>1200</v>
      </c>
      <c r="O43" s="284">
        <f ca="1">ЦветЯчейки</f>
        <v>43</v>
      </c>
      <c r="P43" s="276" t="s">
        <v>784</v>
      </c>
      <c r="Q43" s="153" t="s">
        <v>417</v>
      </c>
      <c r="R43" s="153">
        <v>636</v>
      </c>
      <c r="S43" s="318"/>
      <c r="T43" s="172">
        <v>1200</v>
      </c>
      <c r="U43" s="223">
        <f ca="1">ЦветЯчейки</f>
        <v>43</v>
      </c>
      <c r="V43" s="276" t="s">
        <v>1084</v>
      </c>
      <c r="W43" s="153" t="s">
        <v>417</v>
      </c>
      <c r="X43" s="153">
        <v>866</v>
      </c>
      <c r="Y43" s="270"/>
      <c r="Z43" s="172">
        <v>1200</v>
      </c>
      <c r="AA43" s="75">
        <f t="shared" ca="1" si="2"/>
        <v>43</v>
      </c>
      <c r="AB43" s="142"/>
      <c r="AC43" s="75"/>
      <c r="AD43" s="75"/>
      <c r="AE43" s="75"/>
      <c r="AF43" s="75">
        <f t="shared" ca="1" si="3"/>
        <v>0</v>
      </c>
      <c r="AG43" s="5"/>
      <c r="AH43" s="5"/>
    </row>
    <row r="44" spans="1:34" s="1" customFormat="1" ht="45" x14ac:dyDescent="0.25">
      <c r="A44" s="182">
        <v>42</v>
      </c>
      <c r="B44" s="158" t="s">
        <v>410</v>
      </c>
      <c r="C44" s="202" t="s">
        <v>928</v>
      </c>
      <c r="D44" s="221" t="s">
        <v>409</v>
      </c>
      <c r="E44" s="289">
        <v>44196</v>
      </c>
      <c r="F44" s="5" t="s">
        <v>33</v>
      </c>
      <c r="G44" s="5">
        <v>2633004976</v>
      </c>
      <c r="H44" s="79"/>
      <c r="I44" s="78">
        <v>3</v>
      </c>
      <c r="J44" s="184"/>
      <c r="K44" s="179">
        <v>754</v>
      </c>
      <c r="L44" s="153" t="s">
        <v>417</v>
      </c>
      <c r="M44" s="153">
        <v>411</v>
      </c>
      <c r="N44" s="172">
        <v>3600</v>
      </c>
      <c r="O44" s="284">
        <f ca="1">ЦветЯчейки</f>
        <v>43</v>
      </c>
      <c r="P44" s="276" t="s">
        <v>798</v>
      </c>
      <c r="Q44" s="153" t="s">
        <v>417</v>
      </c>
      <c r="R44" s="153">
        <v>654</v>
      </c>
      <c r="S44" s="270"/>
      <c r="T44" s="172">
        <v>3600</v>
      </c>
      <c r="U44" s="223">
        <f ca="1">ЦветЯчейки</f>
        <v>43</v>
      </c>
      <c r="V44" s="276" t="s">
        <v>1170</v>
      </c>
      <c r="W44" s="153" t="s">
        <v>417</v>
      </c>
      <c r="X44" s="153">
        <v>1027</v>
      </c>
      <c r="Y44" s="270"/>
      <c r="Z44" s="172">
        <v>3600</v>
      </c>
      <c r="AA44" s="75">
        <f t="shared" ca="1" si="2"/>
        <v>43</v>
      </c>
      <c r="AB44" s="142"/>
      <c r="AC44" s="75"/>
      <c r="AD44" s="75"/>
      <c r="AE44" s="75"/>
      <c r="AF44" s="75">
        <f t="shared" ca="1" si="3"/>
        <v>0</v>
      </c>
      <c r="AG44" s="5"/>
      <c r="AH44" s="5"/>
    </row>
    <row r="45" spans="1:34" s="1" customFormat="1" ht="60" x14ac:dyDescent="0.25">
      <c r="A45" s="182">
        <v>43</v>
      </c>
      <c r="B45" s="158" t="s">
        <v>174</v>
      </c>
      <c r="C45" s="17" t="s">
        <v>932</v>
      </c>
      <c r="D45" s="221" t="s">
        <v>176</v>
      </c>
      <c r="E45" s="289">
        <v>44196</v>
      </c>
      <c r="F45" s="5" t="s">
        <v>33</v>
      </c>
      <c r="G45" s="5">
        <v>2635091205</v>
      </c>
      <c r="H45" s="79"/>
      <c r="I45" s="78"/>
      <c r="J45" s="183">
        <v>1</v>
      </c>
      <c r="K45" s="179">
        <v>689</v>
      </c>
      <c r="L45" s="153" t="s">
        <v>417</v>
      </c>
      <c r="M45" s="153">
        <v>259</v>
      </c>
      <c r="N45" s="172">
        <v>1200</v>
      </c>
      <c r="O45" s="284">
        <f ca="1">ЦветЯчейки</f>
        <v>43</v>
      </c>
      <c r="P45" s="272" t="s">
        <v>1038</v>
      </c>
      <c r="Q45" s="143" t="s">
        <v>417</v>
      </c>
      <c r="R45" s="143">
        <v>761</v>
      </c>
      <c r="S45" s="318"/>
      <c r="T45" s="175">
        <v>1200</v>
      </c>
      <c r="U45" s="223">
        <f ca="1">ЦветЯчейки</f>
        <v>3</v>
      </c>
      <c r="V45" s="272" t="s">
        <v>1209</v>
      </c>
      <c r="W45" s="143" t="s">
        <v>753</v>
      </c>
      <c r="X45" s="143">
        <v>1146</v>
      </c>
      <c r="Y45" s="318"/>
      <c r="Z45" s="175">
        <v>1200</v>
      </c>
      <c r="AA45" s="75">
        <f t="shared" ca="1" si="2"/>
        <v>3</v>
      </c>
      <c r="AB45" s="142"/>
      <c r="AC45" s="75"/>
      <c r="AD45" s="75"/>
      <c r="AE45" s="75"/>
      <c r="AF45" s="75">
        <f t="shared" ca="1" si="3"/>
        <v>0</v>
      </c>
      <c r="AG45" s="5"/>
      <c r="AH45" s="5"/>
    </row>
    <row r="46" spans="1:34" s="1" customFormat="1" ht="75" x14ac:dyDescent="0.25">
      <c r="A46" s="182">
        <v>44</v>
      </c>
      <c r="B46" s="159" t="s">
        <v>281</v>
      </c>
      <c r="C46" s="17" t="s">
        <v>933</v>
      </c>
      <c r="D46" s="221" t="s">
        <v>283</v>
      </c>
      <c r="E46" s="289">
        <v>44196</v>
      </c>
      <c r="F46" s="5" t="s">
        <v>33</v>
      </c>
      <c r="G46" s="5">
        <v>2634093520</v>
      </c>
      <c r="H46" s="5"/>
      <c r="I46" s="75">
        <v>1</v>
      </c>
      <c r="J46" s="183"/>
      <c r="K46" s="179">
        <v>772</v>
      </c>
      <c r="L46" s="153" t="s">
        <v>417</v>
      </c>
      <c r="M46" s="153">
        <v>452</v>
      </c>
      <c r="N46" s="172">
        <v>1200</v>
      </c>
      <c r="O46" s="284">
        <f ca="1">ЦветЯчейки</f>
        <v>43</v>
      </c>
      <c r="P46" s="276" t="s">
        <v>819</v>
      </c>
      <c r="Q46" s="153" t="s">
        <v>417</v>
      </c>
      <c r="R46" s="153">
        <v>683</v>
      </c>
      <c r="S46" s="270"/>
      <c r="T46" s="172">
        <v>1200</v>
      </c>
      <c r="U46" s="223">
        <f ca="1">ЦветЯчейки</f>
        <v>43</v>
      </c>
      <c r="V46" s="276" t="s">
        <v>1196</v>
      </c>
      <c r="W46" s="153" t="s">
        <v>417</v>
      </c>
      <c r="X46" s="153">
        <v>1090</v>
      </c>
      <c r="Y46" s="270"/>
      <c r="Z46" s="172">
        <v>1200</v>
      </c>
      <c r="AA46" s="75">
        <f t="shared" ca="1" si="2"/>
        <v>43</v>
      </c>
      <c r="AB46" s="142"/>
      <c r="AC46" s="75"/>
      <c r="AD46" s="75"/>
      <c r="AE46" s="75"/>
      <c r="AF46" s="75">
        <f t="shared" ca="1" si="3"/>
        <v>0</v>
      </c>
      <c r="AG46" s="5"/>
      <c r="AH46" s="5"/>
    </row>
    <row r="47" spans="1:34" s="1" customFormat="1" ht="60" x14ac:dyDescent="0.25">
      <c r="A47" s="182">
        <v>45</v>
      </c>
      <c r="B47" s="159" t="s">
        <v>280</v>
      </c>
      <c r="C47" s="17" t="s">
        <v>934</v>
      </c>
      <c r="D47" s="221" t="s">
        <v>277</v>
      </c>
      <c r="E47" s="289">
        <v>44196</v>
      </c>
      <c r="F47" s="5" t="s">
        <v>33</v>
      </c>
      <c r="G47" s="5">
        <v>2635800236</v>
      </c>
      <c r="H47" s="5"/>
      <c r="I47" s="75">
        <v>1</v>
      </c>
      <c r="J47" s="183"/>
      <c r="K47" s="239">
        <v>782</v>
      </c>
      <c r="L47" s="153" t="s">
        <v>417</v>
      </c>
      <c r="M47" s="153">
        <v>493</v>
      </c>
      <c r="N47" s="172">
        <v>1200</v>
      </c>
      <c r="O47" s="284">
        <f ca="1">ЦветЯчейки</f>
        <v>43</v>
      </c>
      <c r="P47" s="276" t="s">
        <v>1041</v>
      </c>
      <c r="Q47" s="153" t="s">
        <v>417</v>
      </c>
      <c r="R47" s="153">
        <v>769</v>
      </c>
      <c r="S47" s="270"/>
      <c r="T47" s="172">
        <v>1200</v>
      </c>
      <c r="U47" s="223">
        <f ca="1">ЦветЯчейки</f>
        <v>43</v>
      </c>
      <c r="V47" s="276" t="s">
        <v>1143</v>
      </c>
      <c r="W47" s="153" t="s">
        <v>417</v>
      </c>
      <c r="X47" s="153">
        <v>891</v>
      </c>
      <c r="Y47" s="270"/>
      <c r="Z47" s="172">
        <v>1200</v>
      </c>
      <c r="AA47" s="75">
        <f t="shared" ca="1" si="2"/>
        <v>43</v>
      </c>
      <c r="AB47" s="142"/>
      <c r="AC47" s="75"/>
      <c r="AD47" s="75"/>
      <c r="AE47" s="75"/>
      <c r="AF47" s="75">
        <f t="shared" ca="1" si="3"/>
        <v>0</v>
      </c>
      <c r="AG47" s="5"/>
      <c r="AH47" s="5"/>
    </row>
    <row r="48" spans="1:34" s="1" customFormat="1" ht="15.75" hidden="1" customHeight="1" x14ac:dyDescent="0.25">
      <c r="A48" s="182">
        <v>46</v>
      </c>
      <c r="B48" s="225" t="s">
        <v>151</v>
      </c>
      <c r="C48" s="25" t="s">
        <v>935</v>
      </c>
      <c r="D48" s="225" t="s">
        <v>153</v>
      </c>
      <c r="E48" s="293"/>
      <c r="F48" s="26" t="s">
        <v>33</v>
      </c>
      <c r="G48" s="26">
        <v>2636052167</v>
      </c>
      <c r="H48" s="232"/>
      <c r="I48" s="232"/>
      <c r="J48" s="233"/>
      <c r="K48" s="177"/>
      <c r="L48" s="142"/>
      <c r="M48" s="142"/>
      <c r="N48" s="173"/>
      <c r="O48" s="284">
        <f ca="1">ЦветЯчейки</f>
        <v>0</v>
      </c>
      <c r="P48" s="142"/>
      <c r="Q48" s="142"/>
      <c r="R48" s="142"/>
      <c r="S48" s="318"/>
      <c r="T48" s="142"/>
      <c r="U48" s="223">
        <f ca="1">ЦветЯчейки</f>
        <v>0</v>
      </c>
      <c r="V48" s="142"/>
      <c r="W48" s="142"/>
      <c r="X48" s="142"/>
      <c r="Y48" s="142"/>
      <c r="Z48" s="142"/>
      <c r="AA48" s="75">
        <f t="shared" ca="1" si="2"/>
        <v>0</v>
      </c>
      <c r="AB48" s="142"/>
      <c r="AC48" s="75"/>
      <c r="AD48" s="75"/>
      <c r="AE48" s="75"/>
      <c r="AF48" s="75">
        <f t="shared" ca="1" si="3"/>
        <v>0</v>
      </c>
      <c r="AG48" s="5"/>
      <c r="AH48" s="5"/>
    </row>
    <row r="49" spans="1:34" s="1" customFormat="1" ht="60" x14ac:dyDescent="0.25">
      <c r="A49" s="182">
        <v>47</v>
      </c>
      <c r="B49" s="159" t="s">
        <v>317</v>
      </c>
      <c r="C49" s="17" t="s">
        <v>936</v>
      </c>
      <c r="D49" s="221" t="s">
        <v>319</v>
      </c>
      <c r="E49" s="289">
        <v>44196</v>
      </c>
      <c r="F49" s="5" t="s">
        <v>33</v>
      </c>
      <c r="G49" s="5">
        <v>2635805330</v>
      </c>
      <c r="H49" s="5"/>
      <c r="I49" s="5">
        <v>2</v>
      </c>
      <c r="J49" s="183"/>
      <c r="K49" s="239">
        <v>767</v>
      </c>
      <c r="L49" s="153" t="s">
        <v>417</v>
      </c>
      <c r="M49" s="153">
        <v>429</v>
      </c>
      <c r="N49" s="172">
        <v>2400</v>
      </c>
      <c r="O49" s="284">
        <f ca="1">ЦветЯчейки</f>
        <v>43</v>
      </c>
      <c r="P49" s="276" t="s">
        <v>881</v>
      </c>
      <c r="Q49" s="153" t="s">
        <v>417</v>
      </c>
      <c r="R49" s="153">
        <v>742</v>
      </c>
      <c r="S49" s="270"/>
      <c r="T49" s="172">
        <v>2400</v>
      </c>
      <c r="U49" s="223">
        <f ca="1">ЦветЯчейки</f>
        <v>43</v>
      </c>
      <c r="V49" s="276" t="s">
        <v>1121</v>
      </c>
      <c r="W49" s="153" t="s">
        <v>417</v>
      </c>
      <c r="X49" s="153">
        <v>957</v>
      </c>
      <c r="Y49" s="270"/>
      <c r="Z49" s="172">
        <v>2400</v>
      </c>
      <c r="AA49" s="75">
        <f t="shared" ca="1" si="2"/>
        <v>43</v>
      </c>
      <c r="AB49" s="142"/>
      <c r="AC49" s="75"/>
      <c r="AD49" s="75"/>
      <c r="AE49" s="75"/>
      <c r="AF49" s="75">
        <f t="shared" ca="1" si="3"/>
        <v>0</v>
      </c>
      <c r="AG49" s="5"/>
      <c r="AH49" s="5"/>
    </row>
    <row r="50" spans="1:34" s="1" customFormat="1" ht="60" x14ac:dyDescent="0.25">
      <c r="A50" s="182">
        <v>48</v>
      </c>
      <c r="B50" s="159" t="s">
        <v>354</v>
      </c>
      <c r="C50" s="17" t="s">
        <v>937</v>
      </c>
      <c r="D50" s="221" t="s">
        <v>321</v>
      </c>
      <c r="E50" s="289">
        <v>44196</v>
      </c>
      <c r="F50" s="5" t="s">
        <v>33</v>
      </c>
      <c r="G50" s="5">
        <v>2634096433</v>
      </c>
      <c r="H50" s="5"/>
      <c r="I50" s="5">
        <v>2</v>
      </c>
      <c r="J50" s="183"/>
      <c r="K50" s="239">
        <v>768</v>
      </c>
      <c r="L50" s="153" t="s">
        <v>417</v>
      </c>
      <c r="M50" s="153">
        <v>430</v>
      </c>
      <c r="N50" s="172">
        <v>2400</v>
      </c>
      <c r="O50" s="284">
        <f ca="1">ЦветЯчейки</f>
        <v>43</v>
      </c>
      <c r="P50" s="276" t="s">
        <v>882</v>
      </c>
      <c r="Q50" s="153" t="s">
        <v>417</v>
      </c>
      <c r="R50" s="153">
        <v>743</v>
      </c>
      <c r="S50" s="270"/>
      <c r="T50" s="172">
        <v>2400</v>
      </c>
      <c r="U50" s="223">
        <f ca="1">ЦветЯчейки</f>
        <v>43</v>
      </c>
      <c r="V50" s="276" t="s">
        <v>1122</v>
      </c>
      <c r="W50" s="153" t="s">
        <v>417</v>
      </c>
      <c r="X50" s="153">
        <v>958</v>
      </c>
      <c r="Y50" s="270"/>
      <c r="Z50" s="172">
        <v>2400</v>
      </c>
      <c r="AA50" s="75">
        <f t="shared" ca="1" si="2"/>
        <v>43</v>
      </c>
      <c r="AB50" s="142"/>
      <c r="AC50" s="75"/>
      <c r="AD50" s="75"/>
      <c r="AE50" s="75"/>
      <c r="AF50" s="75">
        <f t="shared" ca="1" si="3"/>
        <v>0</v>
      </c>
      <c r="AG50" s="5"/>
      <c r="AH50" s="5"/>
    </row>
    <row r="51" spans="1:34" s="1" customFormat="1" ht="45" x14ac:dyDescent="0.25">
      <c r="A51" s="182">
        <v>49</v>
      </c>
      <c r="B51" s="159" t="s">
        <v>314</v>
      </c>
      <c r="C51" s="17" t="s">
        <v>938</v>
      </c>
      <c r="D51" s="221" t="s">
        <v>316</v>
      </c>
      <c r="E51" s="289">
        <v>44196</v>
      </c>
      <c r="F51" s="5" t="s">
        <v>33</v>
      </c>
      <c r="G51" s="5">
        <v>2634811299</v>
      </c>
      <c r="H51" s="5"/>
      <c r="I51" s="5">
        <v>2</v>
      </c>
      <c r="J51" s="183"/>
      <c r="K51" s="239">
        <v>756</v>
      </c>
      <c r="L51" s="153" t="s">
        <v>417</v>
      </c>
      <c r="M51" s="153">
        <v>416</v>
      </c>
      <c r="N51" s="172">
        <v>2400</v>
      </c>
      <c r="O51" s="284">
        <f ca="1">ЦветЯчейки</f>
        <v>43</v>
      </c>
      <c r="P51" s="272" t="s">
        <v>884</v>
      </c>
      <c r="Q51" s="143" t="s">
        <v>417</v>
      </c>
      <c r="R51" s="143">
        <v>746</v>
      </c>
      <c r="S51" s="318"/>
      <c r="T51" s="175">
        <v>2400</v>
      </c>
      <c r="U51" s="223">
        <f ca="1">ЦветЯчейки</f>
        <v>3</v>
      </c>
      <c r="V51" s="272" t="s">
        <v>1112</v>
      </c>
      <c r="W51" s="143" t="s">
        <v>417</v>
      </c>
      <c r="X51" s="143">
        <v>925</v>
      </c>
      <c r="Y51" s="318"/>
      <c r="Z51" s="175">
        <v>2400</v>
      </c>
      <c r="AA51" s="75">
        <f t="shared" ca="1" si="2"/>
        <v>3</v>
      </c>
      <c r="AB51" s="142"/>
      <c r="AC51" s="75"/>
      <c r="AD51" s="75"/>
      <c r="AE51" s="75"/>
      <c r="AF51" s="75">
        <f t="shared" ca="1" si="3"/>
        <v>0</v>
      </c>
      <c r="AG51" s="5"/>
      <c r="AH51" s="5"/>
    </row>
    <row r="52" spans="1:34" s="1" customFormat="1" ht="60" x14ac:dyDescent="0.25">
      <c r="A52" s="182">
        <v>50</v>
      </c>
      <c r="B52" s="158" t="s">
        <v>223</v>
      </c>
      <c r="C52" s="17" t="s">
        <v>939</v>
      </c>
      <c r="D52" s="221" t="s">
        <v>221</v>
      </c>
      <c r="E52" s="289">
        <v>44196</v>
      </c>
      <c r="F52" s="5" t="s">
        <v>33</v>
      </c>
      <c r="G52" s="5">
        <v>2634803347</v>
      </c>
      <c r="H52" s="79"/>
      <c r="I52" s="78"/>
      <c r="J52" s="183">
        <v>2</v>
      </c>
      <c r="K52" s="239" t="s">
        <v>681</v>
      </c>
      <c r="L52" s="153" t="s">
        <v>551</v>
      </c>
      <c r="M52" s="153">
        <v>223</v>
      </c>
      <c r="N52" s="172">
        <v>2400</v>
      </c>
      <c r="O52" s="284">
        <f ca="1">ЦветЯчейки</f>
        <v>43</v>
      </c>
      <c r="P52" s="276" t="s">
        <v>758</v>
      </c>
      <c r="Q52" s="153" t="s">
        <v>551</v>
      </c>
      <c r="R52" s="153">
        <v>600</v>
      </c>
      <c r="S52" s="318"/>
      <c r="T52" s="172">
        <v>2400</v>
      </c>
      <c r="U52" s="223">
        <f ca="1">ЦветЯчейки</f>
        <v>43</v>
      </c>
      <c r="V52" s="272" t="s">
        <v>1164</v>
      </c>
      <c r="W52" s="143" t="s">
        <v>551</v>
      </c>
      <c r="X52" s="143">
        <v>1020</v>
      </c>
      <c r="Y52" s="318"/>
      <c r="Z52" s="175">
        <v>2400</v>
      </c>
      <c r="AA52" s="75">
        <f t="shared" ca="1" si="2"/>
        <v>3</v>
      </c>
      <c r="AB52" s="142"/>
      <c r="AC52" s="75"/>
      <c r="AD52" s="75"/>
      <c r="AE52" s="75"/>
      <c r="AF52" s="75">
        <f t="shared" ca="1" si="3"/>
        <v>0</v>
      </c>
      <c r="AG52" s="5"/>
      <c r="AH52" s="5"/>
    </row>
    <row r="53" spans="1:34" s="1" customFormat="1" ht="45" x14ac:dyDescent="0.25">
      <c r="A53" s="182">
        <v>51</v>
      </c>
      <c r="B53" s="158" t="s">
        <v>15</v>
      </c>
      <c r="C53" s="17" t="s">
        <v>940</v>
      </c>
      <c r="D53" s="221" t="s">
        <v>644</v>
      </c>
      <c r="E53" s="289">
        <v>44561</v>
      </c>
      <c r="F53" s="5" t="s">
        <v>33</v>
      </c>
      <c r="G53" s="5">
        <v>2635221969</v>
      </c>
      <c r="H53" s="5"/>
      <c r="I53" s="78"/>
      <c r="J53" s="183">
        <v>1</v>
      </c>
      <c r="K53" s="179">
        <v>757</v>
      </c>
      <c r="L53" s="153" t="s">
        <v>417</v>
      </c>
      <c r="M53" s="153">
        <v>418</v>
      </c>
      <c r="N53" s="172">
        <v>1200</v>
      </c>
      <c r="O53" s="284">
        <f ca="1">ЦветЯчейки</f>
        <v>43</v>
      </c>
      <c r="P53" s="276" t="s">
        <v>764</v>
      </c>
      <c r="Q53" s="153" t="s">
        <v>417</v>
      </c>
      <c r="R53" s="153">
        <v>606</v>
      </c>
      <c r="S53" s="318"/>
      <c r="T53" s="172">
        <v>1200</v>
      </c>
      <c r="U53" s="223">
        <f ca="1">ЦветЯчейки</f>
        <v>43</v>
      </c>
      <c r="V53" s="276" t="s">
        <v>1179</v>
      </c>
      <c r="W53" s="153" t="s">
        <v>417</v>
      </c>
      <c r="X53" s="153">
        <v>1034</v>
      </c>
      <c r="Y53" s="270"/>
      <c r="Z53" s="172">
        <v>1200</v>
      </c>
      <c r="AA53" s="75">
        <f t="shared" ca="1" si="2"/>
        <v>43</v>
      </c>
      <c r="AB53" s="75"/>
      <c r="AC53" s="75"/>
      <c r="AD53" s="75"/>
      <c r="AE53" s="75"/>
      <c r="AF53" s="75">
        <f t="shared" ca="1" si="3"/>
        <v>0</v>
      </c>
      <c r="AG53" s="5"/>
      <c r="AH53" s="5"/>
    </row>
    <row r="54" spans="1:34" s="1" customFormat="1" ht="60" x14ac:dyDescent="0.25">
      <c r="A54" s="182">
        <v>52</v>
      </c>
      <c r="B54" s="159" t="s">
        <v>273</v>
      </c>
      <c r="C54" s="17" t="s">
        <v>941</v>
      </c>
      <c r="D54" s="221" t="s">
        <v>274</v>
      </c>
      <c r="E54" s="289">
        <v>44196</v>
      </c>
      <c r="F54" s="5" t="s">
        <v>33</v>
      </c>
      <c r="G54" s="5">
        <v>2635060581</v>
      </c>
      <c r="H54" s="5"/>
      <c r="I54" s="75">
        <v>3</v>
      </c>
      <c r="J54" s="183"/>
      <c r="K54" s="179">
        <v>739</v>
      </c>
      <c r="L54" s="143" t="s">
        <v>417</v>
      </c>
      <c r="M54" s="153">
        <v>385</v>
      </c>
      <c r="N54" s="172">
        <v>3600</v>
      </c>
      <c r="O54" s="284">
        <f ca="1">ЦветЯчейки</f>
        <v>43</v>
      </c>
      <c r="P54" s="276" t="s">
        <v>783</v>
      </c>
      <c r="Q54" s="153" t="s">
        <v>417</v>
      </c>
      <c r="R54" s="153">
        <v>633</v>
      </c>
      <c r="S54" s="318"/>
      <c r="T54" s="172">
        <v>3600</v>
      </c>
      <c r="U54" s="223">
        <f ca="1">ЦветЯчейки</f>
        <v>43</v>
      </c>
      <c r="V54" s="272" t="s">
        <v>1108</v>
      </c>
      <c r="W54" s="143" t="s">
        <v>417</v>
      </c>
      <c r="X54" s="143">
        <v>936</v>
      </c>
      <c r="Y54" s="318"/>
      <c r="Z54" s="175">
        <v>3600</v>
      </c>
      <c r="AA54" s="75">
        <f t="shared" ca="1" si="2"/>
        <v>3</v>
      </c>
      <c r="AB54" s="142"/>
      <c r="AC54" s="75"/>
      <c r="AD54" s="75"/>
      <c r="AE54" s="75"/>
      <c r="AF54" s="75">
        <f t="shared" ca="1" si="3"/>
        <v>0</v>
      </c>
      <c r="AG54" s="5"/>
      <c r="AH54" s="5"/>
    </row>
    <row r="55" spans="1:34" s="1" customFormat="1" ht="60" x14ac:dyDescent="0.25">
      <c r="A55" s="182">
        <v>53</v>
      </c>
      <c r="B55" s="158" t="s">
        <v>134</v>
      </c>
      <c r="C55" s="17" t="s">
        <v>942</v>
      </c>
      <c r="D55" s="221" t="s">
        <v>136</v>
      </c>
      <c r="E55" s="289">
        <v>44196</v>
      </c>
      <c r="F55" s="75" t="s">
        <v>33</v>
      </c>
      <c r="G55" s="5">
        <v>2634101490</v>
      </c>
      <c r="H55" s="78"/>
      <c r="I55" s="78">
        <v>1</v>
      </c>
      <c r="J55" s="183">
        <v>3</v>
      </c>
      <c r="K55" s="179">
        <v>752</v>
      </c>
      <c r="L55" s="153" t="s">
        <v>417</v>
      </c>
      <c r="M55" s="153">
        <v>409</v>
      </c>
      <c r="N55" s="172">
        <v>4800</v>
      </c>
      <c r="O55" s="284">
        <f ca="1">ЦветЯчейки</f>
        <v>43</v>
      </c>
      <c r="P55" s="276" t="s">
        <v>762</v>
      </c>
      <c r="Q55" s="153" t="s">
        <v>417</v>
      </c>
      <c r="R55" s="153">
        <v>604</v>
      </c>
      <c r="S55" s="270"/>
      <c r="T55" s="172">
        <v>4800</v>
      </c>
      <c r="U55" s="223">
        <f ca="1">ЦветЯчейки</f>
        <v>43</v>
      </c>
      <c r="V55" s="272" t="s">
        <v>1124</v>
      </c>
      <c r="W55" s="143" t="s">
        <v>417</v>
      </c>
      <c r="X55" s="143">
        <v>959</v>
      </c>
      <c r="Y55" s="318"/>
      <c r="Z55" s="175">
        <v>4800</v>
      </c>
      <c r="AA55" s="75">
        <f t="shared" ca="1" si="2"/>
        <v>3</v>
      </c>
      <c r="AB55" s="142"/>
      <c r="AC55" s="75"/>
      <c r="AD55" s="75"/>
      <c r="AE55" s="75"/>
      <c r="AF55" s="75">
        <f t="shared" ca="1" si="3"/>
        <v>0</v>
      </c>
      <c r="AG55" s="5"/>
      <c r="AH55" s="5"/>
    </row>
    <row r="56" spans="1:34" s="1" customFormat="1" ht="60" x14ac:dyDescent="0.25">
      <c r="A56" s="182">
        <v>54</v>
      </c>
      <c r="B56" s="158" t="s">
        <v>390</v>
      </c>
      <c r="C56" s="17" t="s">
        <v>943</v>
      </c>
      <c r="D56" s="221" t="s">
        <v>392</v>
      </c>
      <c r="E56" s="289">
        <v>44196</v>
      </c>
      <c r="F56" s="5" t="s">
        <v>33</v>
      </c>
      <c r="G56" s="5">
        <v>2634813553</v>
      </c>
      <c r="H56" s="79"/>
      <c r="I56" s="78">
        <v>1</v>
      </c>
      <c r="J56" s="184">
        <v>1</v>
      </c>
      <c r="K56" s="177"/>
      <c r="L56" s="142"/>
      <c r="M56" s="142"/>
      <c r="N56" s="173"/>
      <c r="O56" s="284">
        <f ca="1">ЦветЯчейки</f>
        <v>0</v>
      </c>
      <c r="P56" s="272" t="s">
        <v>883</v>
      </c>
      <c r="Q56" s="143" t="s">
        <v>417</v>
      </c>
      <c r="R56" s="143">
        <v>745</v>
      </c>
      <c r="S56" s="318"/>
      <c r="T56" s="175">
        <v>4800</v>
      </c>
      <c r="U56" s="223">
        <f ca="1">ЦветЯчейки</f>
        <v>3</v>
      </c>
      <c r="V56" s="276" t="s">
        <v>1204</v>
      </c>
      <c r="W56" s="153" t="s">
        <v>417</v>
      </c>
      <c r="X56" s="153">
        <v>1110</v>
      </c>
      <c r="Y56" s="270"/>
      <c r="Z56" s="172">
        <v>2400</v>
      </c>
      <c r="AA56" s="75">
        <f t="shared" ca="1" si="2"/>
        <v>43</v>
      </c>
      <c r="AB56" s="142"/>
      <c r="AC56" s="75"/>
      <c r="AD56" s="75"/>
      <c r="AE56" s="75"/>
      <c r="AF56" s="75">
        <f t="shared" ca="1" si="3"/>
        <v>0</v>
      </c>
      <c r="AG56" s="5"/>
      <c r="AH56" s="5"/>
    </row>
    <row r="57" spans="1:34" s="1" customFormat="1" ht="75" x14ac:dyDescent="0.25">
      <c r="A57" s="182">
        <v>55</v>
      </c>
      <c r="B57" s="158" t="s">
        <v>139</v>
      </c>
      <c r="C57" s="17" t="s">
        <v>944</v>
      </c>
      <c r="D57" s="221" t="s">
        <v>137</v>
      </c>
      <c r="E57" s="289">
        <v>44196</v>
      </c>
      <c r="F57" s="75" t="s">
        <v>33</v>
      </c>
      <c r="G57" s="5">
        <v>2634077208</v>
      </c>
      <c r="H57" s="5"/>
      <c r="I57" s="5">
        <v>1</v>
      </c>
      <c r="J57" s="183"/>
      <c r="K57" s="239">
        <v>764</v>
      </c>
      <c r="L57" s="153" t="s">
        <v>417</v>
      </c>
      <c r="M57" s="153">
        <v>426</v>
      </c>
      <c r="N57" s="172">
        <v>1200</v>
      </c>
      <c r="O57" s="284">
        <f ca="1">ЦветЯчейки</f>
        <v>43</v>
      </c>
      <c r="P57" s="276" t="s">
        <v>891</v>
      </c>
      <c r="Q57" s="153" t="s">
        <v>417</v>
      </c>
      <c r="R57" s="153">
        <v>754</v>
      </c>
      <c r="S57" s="270"/>
      <c r="T57" s="172">
        <v>1200</v>
      </c>
      <c r="U57" s="223">
        <f ca="1">ЦветЯчейки</f>
        <v>43</v>
      </c>
      <c r="V57" s="273" t="s">
        <v>1190</v>
      </c>
      <c r="W57" s="153" t="s">
        <v>417</v>
      </c>
      <c r="X57" s="153">
        <v>1054</v>
      </c>
      <c r="Y57" s="270"/>
      <c r="Z57" s="172">
        <v>1200</v>
      </c>
      <c r="AA57" s="75">
        <f t="shared" ca="1" si="2"/>
        <v>43</v>
      </c>
      <c r="AB57" s="142"/>
      <c r="AC57" s="75"/>
      <c r="AD57" s="75"/>
      <c r="AE57" s="75"/>
      <c r="AF57" s="75">
        <f t="shared" ca="1" si="3"/>
        <v>0</v>
      </c>
      <c r="AG57" s="5"/>
      <c r="AH57" s="5"/>
    </row>
    <row r="58" spans="1:34" s="1" customFormat="1" ht="60" x14ac:dyDescent="0.25">
      <c r="A58" s="182">
        <v>56</v>
      </c>
      <c r="B58" s="158" t="s">
        <v>212</v>
      </c>
      <c r="C58" s="17" t="s">
        <v>945</v>
      </c>
      <c r="D58" s="221" t="s">
        <v>214</v>
      </c>
      <c r="E58" s="289">
        <v>44196</v>
      </c>
      <c r="F58" s="5" t="s">
        <v>33</v>
      </c>
      <c r="G58" s="5">
        <v>2635134106</v>
      </c>
      <c r="H58" s="79"/>
      <c r="I58" s="78"/>
      <c r="J58" s="183">
        <v>1</v>
      </c>
      <c r="K58" s="239">
        <v>683</v>
      </c>
      <c r="L58" s="143" t="s">
        <v>417</v>
      </c>
      <c r="M58" s="153">
        <v>243</v>
      </c>
      <c r="N58" s="172">
        <v>1200</v>
      </c>
      <c r="O58" s="284">
        <f ca="1">ЦветЯчейки</f>
        <v>43</v>
      </c>
      <c r="P58" s="276" t="s">
        <v>888</v>
      </c>
      <c r="Q58" s="153" t="s">
        <v>417</v>
      </c>
      <c r="R58" s="153">
        <v>751</v>
      </c>
      <c r="S58" s="270"/>
      <c r="T58" s="172">
        <v>1200</v>
      </c>
      <c r="U58" s="223">
        <f ca="1">ЦветЯчейки</f>
        <v>43</v>
      </c>
      <c r="V58" s="273" t="s">
        <v>1198</v>
      </c>
      <c r="W58" s="153" t="s">
        <v>417</v>
      </c>
      <c r="X58" s="153">
        <v>1092</v>
      </c>
      <c r="Y58" s="270"/>
      <c r="Z58" s="172">
        <v>1200</v>
      </c>
      <c r="AA58" s="75">
        <f t="shared" ca="1" si="2"/>
        <v>43</v>
      </c>
      <c r="AB58" s="142"/>
      <c r="AC58" s="75"/>
      <c r="AD58" s="75"/>
      <c r="AE58" s="75"/>
      <c r="AF58" s="75">
        <f t="shared" ca="1" si="3"/>
        <v>0</v>
      </c>
      <c r="AG58" s="5"/>
      <c r="AH58" s="5"/>
    </row>
    <row r="59" spans="1:34" s="1" customFormat="1" ht="90" x14ac:dyDescent="0.25">
      <c r="A59" s="182">
        <v>57</v>
      </c>
      <c r="B59" s="158" t="s">
        <v>25</v>
      </c>
      <c r="C59" s="17" t="s">
        <v>946</v>
      </c>
      <c r="D59" s="93" t="s">
        <v>842</v>
      </c>
      <c r="E59" s="290">
        <v>44185</v>
      </c>
      <c r="F59" s="5" t="s">
        <v>33</v>
      </c>
      <c r="G59" s="5">
        <v>2634069743</v>
      </c>
      <c r="H59" s="5"/>
      <c r="I59" s="79">
        <v>12</v>
      </c>
      <c r="J59" s="183"/>
      <c r="K59" s="239">
        <v>688</v>
      </c>
      <c r="L59" s="153" t="s">
        <v>435</v>
      </c>
      <c r="M59" s="153">
        <v>324</v>
      </c>
      <c r="N59" s="172">
        <v>11200</v>
      </c>
      <c r="O59" s="284">
        <f ca="1">ЦветЯчейки</f>
        <v>43</v>
      </c>
      <c r="P59" s="270" t="s">
        <v>743</v>
      </c>
      <c r="Q59" s="153" t="s">
        <v>417</v>
      </c>
      <c r="R59" s="153">
        <v>581</v>
      </c>
      <c r="S59" s="270"/>
      <c r="T59" s="172">
        <v>11200</v>
      </c>
      <c r="U59" s="223">
        <f ca="1">ЦветЯчейки</f>
        <v>43</v>
      </c>
      <c r="V59" s="269" t="s">
        <v>1147</v>
      </c>
      <c r="W59" s="143" t="s">
        <v>417</v>
      </c>
      <c r="X59" s="143">
        <v>991</v>
      </c>
      <c r="Y59" s="318"/>
      <c r="Z59" s="175">
        <v>11200</v>
      </c>
      <c r="AA59" s="75">
        <f t="shared" ca="1" si="2"/>
        <v>3</v>
      </c>
      <c r="AB59" s="75"/>
      <c r="AC59" s="75"/>
      <c r="AD59" s="75"/>
      <c r="AE59" s="75"/>
      <c r="AF59" s="75">
        <f t="shared" ca="1" si="3"/>
        <v>0</v>
      </c>
      <c r="AG59" s="5"/>
      <c r="AH59" s="5"/>
    </row>
    <row r="60" spans="1:34" s="1" customFormat="1" ht="60" x14ac:dyDescent="0.25">
      <c r="A60" s="182">
        <v>58</v>
      </c>
      <c r="B60" s="158" t="s">
        <v>517</v>
      </c>
      <c r="C60" s="17" t="s">
        <v>947</v>
      </c>
      <c r="D60" s="93" t="s">
        <v>842</v>
      </c>
      <c r="E60" s="290">
        <v>44185</v>
      </c>
      <c r="F60" s="5" t="s">
        <v>33</v>
      </c>
      <c r="G60" s="5">
        <v>2634069743</v>
      </c>
      <c r="H60" s="5"/>
      <c r="I60" s="79">
        <v>2</v>
      </c>
      <c r="J60" s="183"/>
      <c r="K60" s="239"/>
      <c r="L60" s="153" t="s">
        <v>608</v>
      </c>
      <c r="M60" s="153"/>
      <c r="N60" s="172"/>
      <c r="O60" s="324">
        <f ca="1">ЦветЯчейки</f>
        <v>43</v>
      </c>
      <c r="P60" s="6"/>
      <c r="Q60" s="6"/>
      <c r="R60" s="6"/>
      <c r="S60" s="325"/>
      <c r="T60" s="6"/>
      <c r="U60" s="223">
        <f ca="1">ЦветЯчейки</f>
        <v>43</v>
      </c>
      <c r="V60" s="179"/>
      <c r="W60" s="153"/>
      <c r="X60" s="153"/>
      <c r="Y60" s="153"/>
      <c r="Z60" s="172"/>
      <c r="AA60" s="75">
        <f t="shared" ca="1" si="2"/>
        <v>43</v>
      </c>
      <c r="AB60" s="75"/>
      <c r="AC60" s="75"/>
      <c r="AD60" s="75"/>
      <c r="AE60" s="75"/>
      <c r="AF60" s="75">
        <f t="shared" ca="1" si="3"/>
        <v>0</v>
      </c>
      <c r="AG60" s="5"/>
      <c r="AH60" s="5"/>
    </row>
    <row r="61" spans="1:34" s="1" customFormat="1" ht="60" x14ac:dyDescent="0.25">
      <c r="A61" s="182">
        <v>59</v>
      </c>
      <c r="B61" s="158" t="s">
        <v>140</v>
      </c>
      <c r="C61" s="17" t="s">
        <v>1068</v>
      </c>
      <c r="D61" s="221" t="s">
        <v>141</v>
      </c>
      <c r="E61" s="289">
        <v>44196</v>
      </c>
      <c r="F61" s="75" t="s">
        <v>33</v>
      </c>
      <c r="G61" s="5">
        <v>2634079300</v>
      </c>
      <c r="H61" s="5"/>
      <c r="I61" s="5">
        <v>2</v>
      </c>
      <c r="J61" s="183"/>
      <c r="K61" s="239">
        <v>763</v>
      </c>
      <c r="L61" s="153" t="s">
        <v>417</v>
      </c>
      <c r="M61" s="153">
        <v>425</v>
      </c>
      <c r="N61" s="172">
        <v>2400</v>
      </c>
      <c r="O61" s="284">
        <f ca="1">ЦветЯчейки</f>
        <v>43</v>
      </c>
      <c r="P61" s="272" t="s">
        <v>1066</v>
      </c>
      <c r="Q61" s="143" t="s">
        <v>417</v>
      </c>
      <c r="R61" s="143">
        <v>845</v>
      </c>
      <c r="S61" s="318"/>
      <c r="T61" s="175">
        <v>2400</v>
      </c>
      <c r="U61" s="223">
        <f ca="1">ЦветЯчейки</f>
        <v>3</v>
      </c>
      <c r="V61" s="272" t="s">
        <v>1169</v>
      </c>
      <c r="W61" s="143" t="s">
        <v>417</v>
      </c>
      <c r="X61" s="143">
        <v>1025</v>
      </c>
      <c r="Y61" s="318"/>
      <c r="Z61" s="175">
        <v>2400</v>
      </c>
      <c r="AA61" s="75">
        <f t="shared" ca="1" si="2"/>
        <v>3</v>
      </c>
      <c r="AB61" s="142"/>
      <c r="AC61" s="75"/>
      <c r="AD61" s="75"/>
      <c r="AE61" s="75"/>
      <c r="AF61" s="75">
        <f t="shared" ca="1" si="3"/>
        <v>0</v>
      </c>
      <c r="AG61" s="5"/>
      <c r="AH61" s="5"/>
    </row>
    <row r="62" spans="1:34" s="1" customFormat="1" ht="14.25" hidden="1" customHeight="1" x14ac:dyDescent="0.25">
      <c r="A62" s="182">
        <v>60</v>
      </c>
      <c r="B62" s="25" t="s">
        <v>432</v>
      </c>
      <c r="C62" s="25" t="s">
        <v>948</v>
      </c>
      <c r="D62" s="25"/>
      <c r="E62" s="323"/>
      <c r="F62" s="26"/>
      <c r="G62" s="26">
        <v>2636044215</v>
      </c>
      <c r="H62" s="5"/>
      <c r="I62" s="5"/>
      <c r="J62" s="183"/>
      <c r="K62" s="177"/>
      <c r="L62" s="142"/>
      <c r="M62" s="142"/>
      <c r="N62" s="173"/>
      <c r="O62" s="284">
        <f ca="1">ЦветЯчейки</f>
        <v>0</v>
      </c>
      <c r="P62" s="177"/>
      <c r="Q62" s="142"/>
      <c r="R62" s="142"/>
      <c r="S62" s="318"/>
      <c r="T62" s="173"/>
      <c r="U62" s="223">
        <f ca="1">ЦветЯчейки</f>
        <v>0</v>
      </c>
      <c r="V62" s="142"/>
      <c r="W62" s="142"/>
      <c r="X62" s="142"/>
      <c r="Y62" s="142"/>
      <c r="Z62" s="142"/>
      <c r="AA62" s="75">
        <f t="shared" ca="1" si="2"/>
        <v>0</v>
      </c>
      <c r="AB62" s="142"/>
      <c r="AC62" s="75"/>
      <c r="AD62" s="75"/>
      <c r="AE62" s="75"/>
      <c r="AF62" s="75">
        <f t="shared" ca="1" si="3"/>
        <v>0</v>
      </c>
      <c r="AG62" s="5"/>
      <c r="AH62" s="5"/>
    </row>
    <row r="63" spans="1:34" s="1" customFormat="1" ht="75" x14ac:dyDescent="0.25">
      <c r="A63" s="182">
        <v>61</v>
      </c>
      <c r="B63" s="17" t="s">
        <v>244</v>
      </c>
      <c r="C63" s="17" t="s">
        <v>949</v>
      </c>
      <c r="D63" s="93" t="s">
        <v>843</v>
      </c>
      <c r="E63" s="290">
        <v>44196</v>
      </c>
      <c r="F63" s="75" t="s">
        <v>33</v>
      </c>
      <c r="G63" s="5">
        <v>2634051753</v>
      </c>
      <c r="H63" s="5"/>
      <c r="I63" s="5"/>
      <c r="J63" s="183">
        <v>10</v>
      </c>
      <c r="K63" s="179">
        <v>672</v>
      </c>
      <c r="L63" s="153" t="s">
        <v>417</v>
      </c>
      <c r="M63" s="153">
        <v>221</v>
      </c>
      <c r="N63" s="172">
        <v>12000</v>
      </c>
      <c r="O63" s="284">
        <f ca="1">ЦветЯчейки</f>
        <v>43</v>
      </c>
      <c r="P63" s="273" t="s">
        <v>1040</v>
      </c>
      <c r="Q63" s="153" t="s">
        <v>417</v>
      </c>
      <c r="R63" s="153">
        <v>768</v>
      </c>
      <c r="S63" s="318"/>
      <c r="T63" s="172">
        <v>12000</v>
      </c>
      <c r="U63" s="223">
        <f ca="1">ЦветЯчейки</f>
        <v>43</v>
      </c>
      <c r="V63" s="269" t="s">
        <v>1126</v>
      </c>
      <c r="W63" s="143" t="s">
        <v>417</v>
      </c>
      <c r="X63" s="143">
        <v>963</v>
      </c>
      <c r="Y63" s="318"/>
      <c r="Z63" s="175">
        <v>12000</v>
      </c>
      <c r="AA63" s="75">
        <f t="shared" ca="1" si="2"/>
        <v>3</v>
      </c>
      <c r="AB63" s="142"/>
      <c r="AC63" s="142"/>
      <c r="AD63" s="75"/>
      <c r="AE63" s="75"/>
      <c r="AF63" s="75">
        <f t="shared" ca="1" si="3"/>
        <v>0</v>
      </c>
      <c r="AG63" s="5"/>
      <c r="AH63" s="5"/>
    </row>
    <row r="64" spans="1:34" s="1" customFormat="1" ht="75" x14ac:dyDescent="0.25">
      <c r="A64" s="182">
        <v>62</v>
      </c>
      <c r="B64" s="17" t="s">
        <v>446</v>
      </c>
      <c r="C64" s="17" t="s">
        <v>950</v>
      </c>
      <c r="D64" s="201" t="s">
        <v>1037</v>
      </c>
      <c r="E64" s="297">
        <v>44216</v>
      </c>
      <c r="F64" s="75" t="s">
        <v>33</v>
      </c>
      <c r="G64" s="5">
        <v>2636032629</v>
      </c>
      <c r="H64" s="5"/>
      <c r="I64" s="5">
        <v>2</v>
      </c>
      <c r="J64" s="183"/>
      <c r="K64" s="179">
        <v>785</v>
      </c>
      <c r="L64" s="153" t="s">
        <v>417</v>
      </c>
      <c r="M64" s="153">
        <v>497</v>
      </c>
      <c r="N64" s="172">
        <v>2400</v>
      </c>
      <c r="O64" s="284">
        <f ca="1">ЦветЯчейки</f>
        <v>43</v>
      </c>
      <c r="P64" s="273" t="s">
        <v>763</v>
      </c>
      <c r="Q64" s="153" t="s">
        <v>417</v>
      </c>
      <c r="R64" s="153">
        <v>605</v>
      </c>
      <c r="S64" s="318"/>
      <c r="T64" s="172">
        <v>2400</v>
      </c>
      <c r="U64" s="223">
        <f ca="1">ЦветЯчейки</f>
        <v>43</v>
      </c>
      <c r="V64" s="273" t="s">
        <v>1113</v>
      </c>
      <c r="W64" s="153" t="s">
        <v>417</v>
      </c>
      <c r="X64" s="153">
        <v>947</v>
      </c>
      <c r="Y64" s="270"/>
      <c r="Z64" s="172">
        <v>2400</v>
      </c>
      <c r="AA64" s="75">
        <f t="shared" ca="1" si="2"/>
        <v>43</v>
      </c>
      <c r="AB64" s="142"/>
      <c r="AC64" s="75"/>
      <c r="AD64" s="75"/>
      <c r="AE64" s="75"/>
      <c r="AF64" s="75">
        <f t="shared" ca="1" si="3"/>
        <v>0</v>
      </c>
      <c r="AG64" s="5"/>
      <c r="AH64" s="5"/>
    </row>
    <row r="65" spans="1:34" s="1" customFormat="1" ht="90" x14ac:dyDescent="0.25">
      <c r="A65" s="182">
        <v>63</v>
      </c>
      <c r="B65" s="17" t="s">
        <v>1158</v>
      </c>
      <c r="C65" s="17" t="s">
        <v>1159</v>
      </c>
      <c r="D65" s="247" t="s">
        <v>1160</v>
      </c>
      <c r="E65" s="298">
        <v>44561</v>
      </c>
      <c r="F65" s="5" t="s">
        <v>33</v>
      </c>
      <c r="G65" s="5">
        <v>2621800525</v>
      </c>
      <c r="H65" s="5"/>
      <c r="I65" s="5">
        <v>1</v>
      </c>
      <c r="J65" s="183"/>
      <c r="K65" s="179">
        <v>765</v>
      </c>
      <c r="L65" s="153" t="s">
        <v>417</v>
      </c>
      <c r="M65" s="153">
        <v>427</v>
      </c>
      <c r="N65" s="172">
        <v>1200</v>
      </c>
      <c r="O65" s="284">
        <f ca="1">ЦветЯчейки</f>
        <v>43</v>
      </c>
      <c r="P65" s="273" t="s">
        <v>785</v>
      </c>
      <c r="Q65" s="153" t="s">
        <v>417</v>
      </c>
      <c r="R65" s="153">
        <v>637</v>
      </c>
      <c r="S65" s="270"/>
      <c r="T65" s="172">
        <v>1200</v>
      </c>
      <c r="U65" s="223">
        <f ca="1">ЦветЯчейки</f>
        <v>43</v>
      </c>
      <c r="V65" s="273" t="s">
        <v>1129</v>
      </c>
      <c r="W65" s="153" t="s">
        <v>417</v>
      </c>
      <c r="X65" s="153">
        <v>966</v>
      </c>
      <c r="Y65" s="270"/>
      <c r="Z65" s="172">
        <v>1200</v>
      </c>
      <c r="AA65" s="75">
        <f t="shared" ca="1" si="2"/>
        <v>43</v>
      </c>
      <c r="AB65" s="142"/>
      <c r="AC65" s="75"/>
      <c r="AD65" s="75"/>
      <c r="AE65" s="75"/>
      <c r="AF65" s="75">
        <f t="shared" ca="1" si="3"/>
        <v>0</v>
      </c>
      <c r="AG65" s="5"/>
      <c r="AH65" s="5"/>
    </row>
    <row r="66" spans="1:34" s="1" customFormat="1" ht="75" x14ac:dyDescent="0.25">
      <c r="A66" s="182">
        <v>64</v>
      </c>
      <c r="B66" s="32" t="s">
        <v>227</v>
      </c>
      <c r="C66" s="32" t="s">
        <v>951</v>
      </c>
      <c r="D66" s="93" t="s">
        <v>844</v>
      </c>
      <c r="E66" s="290">
        <v>44196</v>
      </c>
      <c r="F66" s="5" t="s">
        <v>33</v>
      </c>
      <c r="G66" s="3">
        <v>2633001686</v>
      </c>
      <c r="H66" s="5"/>
      <c r="I66" s="5"/>
      <c r="J66" s="183">
        <v>20</v>
      </c>
      <c r="K66" s="179">
        <v>713</v>
      </c>
      <c r="L66" s="153" t="s">
        <v>476</v>
      </c>
      <c r="M66" s="153">
        <v>308</v>
      </c>
      <c r="N66" s="172">
        <v>24000</v>
      </c>
      <c r="O66" s="284">
        <f ca="1">ЦветЯчейки</f>
        <v>43</v>
      </c>
      <c r="P66" s="273" t="s">
        <v>779</v>
      </c>
      <c r="Q66" s="143" t="s">
        <v>417</v>
      </c>
      <c r="R66" s="153">
        <v>628</v>
      </c>
      <c r="S66" s="270"/>
      <c r="T66" s="172">
        <v>24000</v>
      </c>
      <c r="U66" s="223">
        <f ca="1">ЦветЯчейки</f>
        <v>43</v>
      </c>
      <c r="V66" s="273" t="s">
        <v>1082</v>
      </c>
      <c r="W66" s="143" t="s">
        <v>417</v>
      </c>
      <c r="X66" s="153">
        <v>1086</v>
      </c>
      <c r="Y66" s="270"/>
      <c r="Z66" s="172">
        <v>24000</v>
      </c>
      <c r="AA66" s="75">
        <f t="shared" ca="1" si="2"/>
        <v>43</v>
      </c>
      <c r="AB66" s="142"/>
      <c r="AC66" s="75"/>
      <c r="AD66" s="75"/>
      <c r="AE66" s="75"/>
      <c r="AF66" s="75">
        <f t="shared" ca="1" si="3"/>
        <v>0</v>
      </c>
      <c r="AG66" s="5"/>
      <c r="AH66" s="5"/>
    </row>
    <row r="67" spans="1:34" s="1" customFormat="1" ht="60" x14ac:dyDescent="0.25">
      <c r="A67" s="182">
        <v>65</v>
      </c>
      <c r="B67" s="32" t="s">
        <v>160</v>
      </c>
      <c r="C67" s="32" t="s">
        <v>952</v>
      </c>
      <c r="D67" s="93" t="s">
        <v>685</v>
      </c>
      <c r="E67" s="290">
        <v>44196</v>
      </c>
      <c r="F67" s="5" t="s">
        <v>33</v>
      </c>
      <c r="G67" s="3">
        <v>2633002873</v>
      </c>
      <c r="H67" s="5"/>
      <c r="I67" s="5"/>
      <c r="J67" s="183">
        <v>22</v>
      </c>
      <c r="K67" s="179">
        <v>690</v>
      </c>
      <c r="L67" s="143" t="s">
        <v>417</v>
      </c>
      <c r="M67" s="153">
        <v>265</v>
      </c>
      <c r="N67" s="172">
        <v>13200</v>
      </c>
      <c r="O67" s="284">
        <f t="shared" ref="O67:O99" ca="1" si="4">ЦветЯчейки</f>
        <v>43</v>
      </c>
      <c r="P67" s="273" t="s">
        <v>745</v>
      </c>
      <c r="Q67" s="153" t="s">
        <v>417</v>
      </c>
      <c r="R67" s="153">
        <v>584</v>
      </c>
      <c r="S67" s="270"/>
      <c r="T67" s="172">
        <v>13200</v>
      </c>
      <c r="U67" s="223">
        <f ca="1">ЦветЯчейки</f>
        <v>43</v>
      </c>
      <c r="V67" s="269" t="s">
        <v>1183</v>
      </c>
      <c r="W67" s="143" t="s">
        <v>417</v>
      </c>
      <c r="X67" s="143">
        <v>1040</v>
      </c>
      <c r="Y67" s="318"/>
      <c r="Z67" s="175">
        <v>13200</v>
      </c>
      <c r="AA67" s="75">
        <f ca="1">ЦветЯчейки</f>
        <v>3</v>
      </c>
      <c r="AB67" s="142"/>
      <c r="AC67" s="75"/>
      <c r="AD67" s="75"/>
      <c r="AE67" s="75"/>
      <c r="AF67" s="75">
        <f ca="1">ЦветЯчейки</f>
        <v>0</v>
      </c>
      <c r="AG67" s="5"/>
      <c r="AH67" s="5"/>
    </row>
    <row r="68" spans="1:34" s="1" customFormat="1" ht="11.25" hidden="1" customHeight="1" x14ac:dyDescent="0.25">
      <c r="A68" s="182">
        <v>66</v>
      </c>
      <c r="B68" s="47" t="s">
        <v>549</v>
      </c>
      <c r="C68" s="47" t="s">
        <v>953</v>
      </c>
      <c r="D68" s="225" t="s">
        <v>686</v>
      </c>
      <c r="E68" s="293"/>
      <c r="F68" s="8"/>
      <c r="G68" s="8">
        <v>2633001140</v>
      </c>
      <c r="H68" s="5"/>
      <c r="I68" s="5"/>
      <c r="J68" s="183"/>
      <c r="K68" s="179">
        <v>721</v>
      </c>
      <c r="L68" s="153" t="s">
        <v>417</v>
      </c>
      <c r="M68" s="153">
        <v>319</v>
      </c>
      <c r="N68" s="172">
        <v>2400</v>
      </c>
      <c r="O68" s="284">
        <f t="shared" ca="1" si="4"/>
        <v>43</v>
      </c>
      <c r="P68" s="177"/>
      <c r="Q68" s="142"/>
      <c r="R68" s="142"/>
      <c r="S68" s="318"/>
      <c r="T68" s="173"/>
      <c r="U68" s="223">
        <f ca="1">ЦветЯчейки</f>
        <v>0</v>
      </c>
      <c r="V68" s="177"/>
      <c r="W68" s="142"/>
      <c r="X68" s="142"/>
      <c r="Y68" s="142"/>
      <c r="Z68" s="173"/>
      <c r="AA68" s="75">
        <f ca="1">ЦветЯчейки</f>
        <v>0</v>
      </c>
      <c r="AB68" s="142"/>
      <c r="AC68" s="75"/>
      <c r="AD68" s="75"/>
      <c r="AE68" s="75"/>
      <c r="AF68" s="75">
        <f ca="1">ЦветЯчейки</f>
        <v>0</v>
      </c>
      <c r="AG68" s="5"/>
      <c r="AH68" s="5"/>
    </row>
    <row r="69" spans="1:34" s="1" customFormat="1" ht="60" x14ac:dyDescent="0.25">
      <c r="A69" s="182">
        <v>67</v>
      </c>
      <c r="B69" s="32" t="s">
        <v>529</v>
      </c>
      <c r="C69" s="32" t="s">
        <v>954</v>
      </c>
      <c r="D69" s="221" t="s">
        <v>531</v>
      </c>
      <c r="E69" s="298">
        <v>44196</v>
      </c>
      <c r="F69" s="3" t="s">
        <v>33</v>
      </c>
      <c r="G69" s="3">
        <v>2635104983</v>
      </c>
      <c r="H69" s="5"/>
      <c r="I69" s="5">
        <v>1</v>
      </c>
      <c r="J69" s="183"/>
      <c r="K69" s="179">
        <v>760</v>
      </c>
      <c r="L69" s="153" t="s">
        <v>417</v>
      </c>
      <c r="M69" s="153">
        <v>421</v>
      </c>
      <c r="N69" s="172">
        <v>1200</v>
      </c>
      <c r="O69" s="284">
        <f t="shared" ca="1" si="4"/>
        <v>43</v>
      </c>
      <c r="P69" s="273" t="s">
        <v>796</v>
      </c>
      <c r="Q69" s="153" t="s">
        <v>417</v>
      </c>
      <c r="R69" s="153">
        <v>653</v>
      </c>
      <c r="S69" s="270"/>
      <c r="T69" s="172">
        <v>1200</v>
      </c>
      <c r="U69" s="223">
        <f ca="1">ЦветЯчейки</f>
        <v>43</v>
      </c>
      <c r="V69" s="273" t="s">
        <v>1165</v>
      </c>
      <c r="W69" s="153" t="s">
        <v>417</v>
      </c>
      <c r="X69" s="153">
        <v>1021</v>
      </c>
      <c r="Y69" s="270"/>
      <c r="Z69" s="172">
        <v>1200</v>
      </c>
      <c r="AA69" s="75">
        <f ca="1">ЦветЯчейки</f>
        <v>43</v>
      </c>
      <c r="AB69" s="142"/>
      <c r="AC69" s="75"/>
      <c r="AD69" s="75"/>
      <c r="AE69" s="75"/>
      <c r="AF69" s="75">
        <f ca="1">ЦветЯчейки</f>
        <v>0</v>
      </c>
      <c r="AG69" s="5"/>
      <c r="AH69" s="5"/>
    </row>
    <row r="70" spans="1:34" s="1" customFormat="1" ht="60" x14ac:dyDescent="0.25">
      <c r="A70" s="182">
        <v>68</v>
      </c>
      <c r="B70" s="32" t="s">
        <v>556</v>
      </c>
      <c r="C70" s="32" t="s">
        <v>955</v>
      </c>
      <c r="D70" s="221" t="s">
        <v>557</v>
      </c>
      <c r="E70" s="298">
        <v>44196</v>
      </c>
      <c r="F70" s="3" t="s">
        <v>33</v>
      </c>
      <c r="G70" s="3">
        <v>2635219920</v>
      </c>
      <c r="H70" s="5"/>
      <c r="I70" s="5">
        <v>1</v>
      </c>
      <c r="J70" s="183"/>
      <c r="K70" s="179">
        <v>759</v>
      </c>
      <c r="L70" s="153" t="s">
        <v>417</v>
      </c>
      <c r="M70" s="153">
        <v>420</v>
      </c>
      <c r="N70" s="172">
        <v>3600</v>
      </c>
      <c r="O70" s="284">
        <f t="shared" ca="1" si="4"/>
        <v>43</v>
      </c>
      <c r="P70" s="269" t="s">
        <v>890</v>
      </c>
      <c r="Q70" s="143" t="s">
        <v>417</v>
      </c>
      <c r="R70" s="143">
        <v>755</v>
      </c>
      <c r="S70" s="318"/>
      <c r="T70" s="175">
        <v>1200</v>
      </c>
      <c r="U70" s="223">
        <f ca="1">ЦветЯчейки</f>
        <v>3</v>
      </c>
      <c r="V70" s="142"/>
      <c r="W70" s="142"/>
      <c r="X70" s="142"/>
      <c r="Y70" s="142"/>
      <c r="Z70" s="142"/>
      <c r="AA70" s="75">
        <f ca="1">ЦветЯчейки</f>
        <v>0</v>
      </c>
      <c r="AB70" s="142"/>
      <c r="AC70" s="75"/>
      <c r="AD70" s="75"/>
      <c r="AE70" s="75"/>
      <c r="AF70" s="75">
        <f ca="1">ЦветЯчейки</f>
        <v>0</v>
      </c>
      <c r="AG70" s="5"/>
      <c r="AH70" s="5"/>
    </row>
    <row r="71" spans="1:34" s="1" customFormat="1" ht="60" x14ac:dyDescent="0.25">
      <c r="A71" s="182">
        <v>69</v>
      </c>
      <c r="B71" s="32" t="s">
        <v>570</v>
      </c>
      <c r="C71" s="32" t="s">
        <v>956</v>
      </c>
      <c r="D71" s="93" t="s">
        <v>845</v>
      </c>
      <c r="E71" s="307">
        <v>44196</v>
      </c>
      <c r="F71" s="3" t="s">
        <v>33</v>
      </c>
      <c r="G71" s="3">
        <v>2633003010</v>
      </c>
      <c r="H71" s="5"/>
      <c r="I71" s="5">
        <v>7</v>
      </c>
      <c r="J71" s="183"/>
      <c r="K71" s="179">
        <v>712</v>
      </c>
      <c r="L71" s="153" t="s">
        <v>476</v>
      </c>
      <c r="M71" s="153">
        <v>307</v>
      </c>
      <c r="N71" s="172">
        <v>8400</v>
      </c>
      <c r="O71" s="284">
        <f t="shared" ca="1" si="4"/>
        <v>43</v>
      </c>
      <c r="P71" s="270" t="s">
        <v>747</v>
      </c>
      <c r="Q71" s="153" t="s">
        <v>417</v>
      </c>
      <c r="R71" s="153">
        <v>592</v>
      </c>
      <c r="S71" s="318"/>
      <c r="T71" s="172">
        <v>8400</v>
      </c>
      <c r="U71" s="223">
        <f ca="1">ЦветЯчейки</f>
        <v>43</v>
      </c>
      <c r="V71" s="273" t="s">
        <v>1128</v>
      </c>
      <c r="W71" s="143" t="s">
        <v>417</v>
      </c>
      <c r="X71" s="153">
        <v>965</v>
      </c>
      <c r="Y71" s="270"/>
      <c r="Z71" s="172">
        <v>8400</v>
      </c>
      <c r="AA71" s="75">
        <f ca="1">ЦветЯчейки</f>
        <v>43</v>
      </c>
      <c r="AB71" s="142"/>
      <c r="AC71" s="75"/>
      <c r="AD71" s="75"/>
      <c r="AE71" s="75"/>
      <c r="AF71" s="75">
        <f ca="1">ЦветЯчейки</f>
        <v>0</v>
      </c>
      <c r="AG71" s="5"/>
      <c r="AH71" s="5"/>
    </row>
    <row r="72" spans="1:34" s="1" customFormat="1" ht="75" x14ac:dyDescent="0.25">
      <c r="A72" s="182">
        <v>70</v>
      </c>
      <c r="B72" s="32" t="s">
        <v>588</v>
      </c>
      <c r="C72" s="32" t="s">
        <v>957</v>
      </c>
      <c r="D72" s="221" t="s">
        <v>590</v>
      </c>
      <c r="E72" s="308">
        <v>44196</v>
      </c>
      <c r="F72" s="3" t="s">
        <v>33</v>
      </c>
      <c r="G72" s="3">
        <v>2634102849</v>
      </c>
      <c r="H72" s="5"/>
      <c r="I72" s="5">
        <v>4</v>
      </c>
      <c r="J72" s="183"/>
      <c r="K72" s="179">
        <v>753</v>
      </c>
      <c r="L72" s="153" t="s">
        <v>417</v>
      </c>
      <c r="M72" s="153">
        <v>410</v>
      </c>
      <c r="N72" s="172">
        <v>3600</v>
      </c>
      <c r="O72" s="284">
        <f t="shared" ca="1" si="4"/>
        <v>43</v>
      </c>
      <c r="P72" s="269" t="s">
        <v>1044</v>
      </c>
      <c r="Q72" s="143" t="s">
        <v>416</v>
      </c>
      <c r="R72" s="143">
        <v>773</v>
      </c>
      <c r="S72" s="318"/>
      <c r="T72" s="175">
        <v>3600</v>
      </c>
      <c r="U72" s="223">
        <f ca="1">ЦветЯчейки</f>
        <v>3</v>
      </c>
      <c r="V72" s="142"/>
      <c r="W72" s="142"/>
      <c r="X72" s="142"/>
      <c r="Y72" s="142"/>
      <c r="Z72" s="142"/>
      <c r="AA72" s="75">
        <f ca="1">ЦветЯчейки</f>
        <v>0</v>
      </c>
      <c r="AB72" s="142"/>
      <c r="AC72" s="142"/>
      <c r="AD72" s="75"/>
      <c r="AE72" s="75"/>
      <c r="AF72" s="75">
        <f ca="1">ЦветЯчейки</f>
        <v>0</v>
      </c>
      <c r="AG72" s="5"/>
      <c r="AH72" s="5"/>
    </row>
    <row r="73" spans="1:34" s="1" customFormat="1" ht="69.75" customHeight="1" x14ac:dyDescent="0.25">
      <c r="A73" s="182">
        <v>71</v>
      </c>
      <c r="B73" s="32" t="s">
        <v>682</v>
      </c>
      <c r="C73" s="46" t="s">
        <v>958</v>
      </c>
      <c r="D73" s="221" t="s">
        <v>683</v>
      </c>
      <c r="E73" s="308">
        <v>44196</v>
      </c>
      <c r="F73" s="3" t="s">
        <v>33</v>
      </c>
      <c r="G73" s="3">
        <v>2635807986</v>
      </c>
      <c r="H73" s="5"/>
      <c r="I73" s="5"/>
      <c r="J73" s="183">
        <v>1</v>
      </c>
      <c r="K73" s="179">
        <v>679</v>
      </c>
      <c r="L73" s="153" t="s">
        <v>416</v>
      </c>
      <c r="M73" s="153">
        <v>230</v>
      </c>
      <c r="N73" s="172">
        <v>3600</v>
      </c>
      <c r="O73" s="284">
        <f t="shared" ca="1" si="4"/>
        <v>43</v>
      </c>
      <c r="P73" s="269" t="s">
        <v>887</v>
      </c>
      <c r="Q73" s="143" t="s">
        <v>417</v>
      </c>
      <c r="R73" s="143">
        <v>750</v>
      </c>
      <c r="S73" s="318"/>
      <c r="T73" s="175">
        <v>1200</v>
      </c>
      <c r="U73" s="223">
        <f ca="1">ЦветЯчейки</f>
        <v>3</v>
      </c>
      <c r="V73" s="142"/>
      <c r="W73" s="142"/>
      <c r="X73" s="142"/>
      <c r="Y73" s="142"/>
      <c r="Z73" s="142"/>
      <c r="AA73" s="75">
        <f ca="1">ЦветЯчейки</f>
        <v>0</v>
      </c>
      <c r="AB73" s="142"/>
      <c r="AC73" s="142"/>
      <c r="AD73" s="75"/>
      <c r="AE73" s="75"/>
      <c r="AF73" s="75">
        <f ca="1">ЦветЯчейки</f>
        <v>0</v>
      </c>
      <c r="AG73" s="5"/>
      <c r="AH73" s="5"/>
    </row>
    <row r="74" spans="1:34" s="1" customFormat="1" ht="69.75" customHeight="1" x14ac:dyDescent="0.25">
      <c r="A74" s="182">
        <v>72</v>
      </c>
      <c r="B74" s="32" t="s">
        <v>1054</v>
      </c>
      <c r="C74" s="46" t="s">
        <v>1056</v>
      </c>
      <c r="D74" s="101" t="s">
        <v>1055</v>
      </c>
      <c r="E74" s="307">
        <v>44196</v>
      </c>
      <c r="F74" s="3" t="s">
        <v>33</v>
      </c>
      <c r="G74" s="3">
        <v>2633004253</v>
      </c>
      <c r="H74" s="5"/>
      <c r="I74" s="5"/>
      <c r="J74" s="183">
        <v>2</v>
      </c>
      <c r="K74" s="180"/>
      <c r="L74" s="143"/>
      <c r="M74" s="143"/>
      <c r="N74" s="175"/>
      <c r="O74" s="284"/>
      <c r="P74" s="269" t="s">
        <v>1057</v>
      </c>
      <c r="Q74" s="143" t="s">
        <v>416</v>
      </c>
      <c r="R74" s="143">
        <v>834</v>
      </c>
      <c r="S74" s="318"/>
      <c r="T74" s="175">
        <v>4800</v>
      </c>
      <c r="U74" s="223">
        <f ca="1">ЦветЯчейки</f>
        <v>3</v>
      </c>
      <c r="V74" s="273" t="s">
        <v>1182</v>
      </c>
      <c r="W74" s="153" t="s">
        <v>417</v>
      </c>
      <c r="X74" s="153">
        <v>1039</v>
      </c>
      <c r="Y74" s="270"/>
      <c r="Z74" s="172">
        <v>2400</v>
      </c>
      <c r="AA74" s="75">
        <f ca="1">ЦветЯчейки</f>
        <v>43</v>
      </c>
      <c r="AB74" s="142"/>
      <c r="AC74" s="142"/>
      <c r="AD74" s="75"/>
      <c r="AE74" s="75"/>
      <c r="AF74" s="75">
        <f ca="1">ЦветЯчейки</f>
        <v>0</v>
      </c>
      <c r="AG74" s="5"/>
      <c r="AH74" s="5"/>
    </row>
    <row r="75" spans="1:34" s="1" customFormat="1" ht="75.75" customHeight="1" x14ac:dyDescent="0.25">
      <c r="A75" s="182"/>
      <c r="B75" s="160" t="s">
        <v>340</v>
      </c>
      <c r="C75" s="139" t="s">
        <v>341</v>
      </c>
      <c r="D75" s="93" t="s">
        <v>1080</v>
      </c>
      <c r="E75" s="307">
        <v>44196</v>
      </c>
      <c r="F75" s="5" t="s">
        <v>33</v>
      </c>
      <c r="G75" s="5">
        <v>2614018081</v>
      </c>
      <c r="H75" s="5"/>
      <c r="I75" s="5">
        <v>1</v>
      </c>
      <c r="J75" s="183"/>
      <c r="K75" s="179"/>
      <c r="L75" s="153"/>
      <c r="M75" s="153"/>
      <c r="N75" s="172"/>
      <c r="O75" s="284"/>
      <c r="P75" s="273" t="s">
        <v>1081</v>
      </c>
      <c r="Q75" s="153" t="s">
        <v>417</v>
      </c>
      <c r="R75" s="153">
        <v>545</v>
      </c>
      <c r="S75" s="270"/>
      <c r="T75" s="172">
        <v>2400</v>
      </c>
      <c r="U75" s="223"/>
      <c r="V75" s="273" t="s">
        <v>1156</v>
      </c>
      <c r="W75" s="153" t="s">
        <v>417</v>
      </c>
      <c r="X75" s="153">
        <v>927</v>
      </c>
      <c r="Y75" s="270"/>
      <c r="Z75" s="172">
        <v>1200</v>
      </c>
      <c r="AA75" s="75"/>
      <c r="AB75" s="142"/>
      <c r="AC75" s="142"/>
      <c r="AD75" s="75"/>
      <c r="AE75" s="75"/>
      <c r="AF75" s="75"/>
      <c r="AG75" s="5"/>
      <c r="AH75" s="5"/>
    </row>
    <row r="76" spans="1:34" s="1" customFormat="1" ht="75" x14ac:dyDescent="0.25">
      <c r="A76" s="182">
        <v>73</v>
      </c>
      <c r="B76" s="160" t="s">
        <v>383</v>
      </c>
      <c r="C76" s="139" t="s">
        <v>959</v>
      </c>
      <c r="D76" s="93" t="s">
        <v>846</v>
      </c>
      <c r="E76" s="307">
        <v>44196</v>
      </c>
      <c r="F76" s="5" t="s">
        <v>33</v>
      </c>
      <c r="G76" s="5">
        <v>2602004461</v>
      </c>
      <c r="H76" s="151"/>
      <c r="I76" s="78"/>
      <c r="J76" s="184">
        <v>6</v>
      </c>
      <c r="K76" s="179">
        <v>733</v>
      </c>
      <c r="L76" s="206" t="s">
        <v>699</v>
      </c>
      <c r="M76" s="206">
        <v>365</v>
      </c>
      <c r="N76" s="172">
        <v>9600</v>
      </c>
      <c r="O76" s="284">
        <f t="shared" ca="1" si="4"/>
        <v>43</v>
      </c>
      <c r="P76" s="269" t="s">
        <v>1045</v>
      </c>
      <c r="Q76" s="143" t="s">
        <v>417</v>
      </c>
      <c r="R76" s="143">
        <v>778</v>
      </c>
      <c r="S76" s="318"/>
      <c r="T76" s="175">
        <v>7200</v>
      </c>
      <c r="U76" s="223">
        <f ca="1">ЦветЯчейки</f>
        <v>3</v>
      </c>
      <c r="V76" s="269" t="s">
        <v>1195</v>
      </c>
      <c r="W76" s="153" t="s">
        <v>417</v>
      </c>
      <c r="X76" s="143">
        <v>1088</v>
      </c>
      <c r="Y76" s="318"/>
      <c r="Z76" s="175">
        <v>7200</v>
      </c>
      <c r="AA76" s="75">
        <f ca="1">ЦветЯчейки</f>
        <v>3</v>
      </c>
      <c r="AB76" s="142"/>
      <c r="AC76" s="75"/>
      <c r="AD76" s="75"/>
      <c r="AE76" s="75"/>
      <c r="AF76" s="75">
        <f ca="1">ЦветЯчейки</f>
        <v>0</v>
      </c>
      <c r="AG76" s="5"/>
      <c r="AH76" s="5"/>
    </row>
    <row r="77" spans="1:34" s="1" customFormat="1" ht="60" x14ac:dyDescent="0.25">
      <c r="A77" s="182">
        <v>74</v>
      </c>
      <c r="B77" s="160" t="s">
        <v>307</v>
      </c>
      <c r="C77" s="139" t="s">
        <v>960</v>
      </c>
      <c r="D77" s="93" t="s">
        <v>847</v>
      </c>
      <c r="E77" s="307">
        <v>44196</v>
      </c>
      <c r="F77" s="5" t="s">
        <v>33</v>
      </c>
      <c r="G77" s="5">
        <v>2604000303</v>
      </c>
      <c r="H77" s="5"/>
      <c r="I77" s="79">
        <v>7</v>
      </c>
      <c r="J77" s="183"/>
      <c r="K77" s="179">
        <v>699</v>
      </c>
      <c r="L77" s="153" t="s">
        <v>417</v>
      </c>
      <c r="M77" s="153">
        <v>284</v>
      </c>
      <c r="N77" s="172">
        <v>8400</v>
      </c>
      <c r="O77" s="284">
        <f t="shared" ca="1" si="4"/>
        <v>43</v>
      </c>
      <c r="P77" s="270" t="s">
        <v>812</v>
      </c>
      <c r="Q77" s="153" t="s">
        <v>417</v>
      </c>
      <c r="R77" s="153">
        <v>672</v>
      </c>
      <c r="S77" s="318"/>
      <c r="T77" s="172">
        <v>8400</v>
      </c>
      <c r="U77" s="223">
        <f ca="1">ЦветЯчейки</f>
        <v>43</v>
      </c>
      <c r="V77" s="273" t="s">
        <v>1083</v>
      </c>
      <c r="W77" s="153" t="s">
        <v>417</v>
      </c>
      <c r="X77" s="153">
        <v>865</v>
      </c>
      <c r="Y77" s="270"/>
      <c r="Z77" s="172">
        <v>8400</v>
      </c>
      <c r="AA77" s="75">
        <f ca="1">ЦветЯчейки</f>
        <v>43</v>
      </c>
      <c r="AB77" s="142"/>
      <c r="AC77" s="75"/>
      <c r="AD77" s="75"/>
      <c r="AE77" s="75"/>
      <c r="AF77" s="75">
        <f ca="1">ЦветЯчейки</f>
        <v>0</v>
      </c>
      <c r="AG77" s="5"/>
      <c r="AH77" s="5"/>
    </row>
    <row r="78" spans="1:34" s="1" customFormat="1" ht="75" x14ac:dyDescent="0.25">
      <c r="A78" s="182">
        <v>75</v>
      </c>
      <c r="B78" s="160" t="s">
        <v>393</v>
      </c>
      <c r="C78" s="139" t="s">
        <v>961</v>
      </c>
      <c r="D78" s="101" t="s">
        <v>848</v>
      </c>
      <c r="E78" s="307">
        <v>44196</v>
      </c>
      <c r="F78" s="5" t="s">
        <v>33</v>
      </c>
      <c r="G78" s="5">
        <v>2606007110</v>
      </c>
      <c r="H78" s="79"/>
      <c r="I78" s="78"/>
      <c r="J78" s="184">
        <v>6</v>
      </c>
      <c r="K78" s="179">
        <v>784</v>
      </c>
      <c r="L78" s="153" t="s">
        <v>476</v>
      </c>
      <c r="M78" s="153">
        <v>495</v>
      </c>
      <c r="N78" s="172">
        <v>7200</v>
      </c>
      <c r="O78" s="284">
        <f t="shared" ca="1" si="4"/>
        <v>43</v>
      </c>
      <c r="P78" s="268" t="s">
        <v>1063</v>
      </c>
      <c r="Q78" s="143" t="s">
        <v>417</v>
      </c>
      <c r="R78" s="143">
        <v>798</v>
      </c>
      <c r="S78" s="318"/>
      <c r="T78" s="175">
        <v>7200</v>
      </c>
      <c r="U78" s="223">
        <f ca="1">ЦветЯчейки</f>
        <v>3</v>
      </c>
      <c r="V78" s="142"/>
      <c r="W78" s="142"/>
      <c r="X78" s="142"/>
      <c r="Y78" s="142"/>
      <c r="Z78" s="173"/>
      <c r="AA78" s="75">
        <f ca="1">ЦветЯчейки</f>
        <v>0</v>
      </c>
      <c r="AB78" s="142"/>
      <c r="AC78" s="75"/>
      <c r="AD78" s="75"/>
      <c r="AE78" s="75"/>
      <c r="AF78" s="75">
        <f ca="1">ЦветЯчейки</f>
        <v>0</v>
      </c>
      <c r="AG78" s="5"/>
      <c r="AH78" s="5"/>
    </row>
    <row r="79" spans="1:34" s="1" customFormat="1" ht="75" x14ac:dyDescent="0.25">
      <c r="A79" s="182">
        <v>76</v>
      </c>
      <c r="B79" s="160" t="s">
        <v>298</v>
      </c>
      <c r="C79" s="139" t="s">
        <v>962</v>
      </c>
      <c r="D79" s="93" t="s">
        <v>849</v>
      </c>
      <c r="E79" s="307">
        <v>44196</v>
      </c>
      <c r="F79" s="5" t="s">
        <v>33</v>
      </c>
      <c r="G79" s="5">
        <v>2607018281</v>
      </c>
      <c r="H79" s="75"/>
      <c r="I79" s="5">
        <v>2</v>
      </c>
      <c r="J79" s="183"/>
      <c r="K79" s="179">
        <v>781</v>
      </c>
      <c r="L79" s="153" t="s">
        <v>417</v>
      </c>
      <c r="M79" s="153">
        <v>492</v>
      </c>
      <c r="N79" s="172">
        <v>2400</v>
      </c>
      <c r="O79" s="284">
        <f t="shared" ca="1" si="4"/>
        <v>43</v>
      </c>
      <c r="P79" s="270" t="s">
        <v>757</v>
      </c>
      <c r="Q79" s="153" t="s">
        <v>417</v>
      </c>
      <c r="R79" s="153">
        <v>598</v>
      </c>
      <c r="S79" s="270"/>
      <c r="T79" s="172">
        <v>2400</v>
      </c>
      <c r="U79" s="223">
        <f ca="1">ЦветЯчейки</f>
        <v>43</v>
      </c>
      <c r="V79" s="270" t="s">
        <v>1103</v>
      </c>
      <c r="W79" s="153" t="s">
        <v>417</v>
      </c>
      <c r="X79" s="153">
        <v>895</v>
      </c>
      <c r="Y79" s="270"/>
      <c r="Z79" s="172">
        <v>2400</v>
      </c>
      <c r="AA79" s="75">
        <f ca="1">ЦветЯчейки</f>
        <v>43</v>
      </c>
      <c r="AB79" s="142"/>
      <c r="AC79" s="75"/>
      <c r="AD79" s="75"/>
      <c r="AE79" s="75"/>
      <c r="AF79" s="75">
        <f ca="1">ЦветЯчейки</f>
        <v>0</v>
      </c>
      <c r="AG79" s="5"/>
      <c r="AH79" s="5"/>
    </row>
    <row r="80" spans="1:34" s="1" customFormat="1" ht="60" x14ac:dyDescent="0.25">
      <c r="A80" s="182">
        <v>77</v>
      </c>
      <c r="B80" s="160" t="s">
        <v>450</v>
      </c>
      <c r="C80" s="139" t="s">
        <v>963</v>
      </c>
      <c r="D80" s="93" t="s">
        <v>850</v>
      </c>
      <c r="E80" s="307">
        <v>44196</v>
      </c>
      <c r="F80" s="5" t="s">
        <v>33</v>
      </c>
      <c r="G80" s="5">
        <v>2608003721</v>
      </c>
      <c r="H80" s="79"/>
      <c r="I80" s="78">
        <v>16</v>
      </c>
      <c r="J80" s="183"/>
      <c r="K80" s="179"/>
      <c r="L80" s="153"/>
      <c r="M80" s="153"/>
      <c r="N80" s="172"/>
      <c r="O80" s="324">
        <f t="shared" ca="1" si="4"/>
        <v>43</v>
      </c>
      <c r="P80" s="270" t="s">
        <v>1047</v>
      </c>
      <c r="Q80" s="153" t="s">
        <v>417</v>
      </c>
      <c r="R80" s="206" t="s">
        <v>1048</v>
      </c>
      <c r="S80" s="270"/>
      <c r="T80" s="172">
        <v>38400</v>
      </c>
      <c r="U80" s="223">
        <f ca="1">ЦветЯчейки</f>
        <v>43</v>
      </c>
      <c r="V80" s="268" t="s">
        <v>1208</v>
      </c>
      <c r="W80" s="143" t="s">
        <v>476</v>
      </c>
      <c r="X80" s="143">
        <v>1145</v>
      </c>
      <c r="Y80" s="318"/>
      <c r="Z80" s="175">
        <v>19200</v>
      </c>
      <c r="AA80" s="75">
        <f ca="1">ЦветЯчейки</f>
        <v>3</v>
      </c>
      <c r="AB80" s="142"/>
      <c r="AC80" s="75"/>
      <c r="AD80" s="75"/>
      <c r="AE80" s="75"/>
      <c r="AF80" s="75">
        <f ca="1">ЦветЯчейки</f>
        <v>0</v>
      </c>
      <c r="AG80" s="5"/>
      <c r="AH80" s="5"/>
    </row>
    <row r="81" spans="1:34" s="1" customFormat="1" ht="60" x14ac:dyDescent="0.25">
      <c r="A81" s="182">
        <v>78</v>
      </c>
      <c r="B81" s="160" t="s">
        <v>368</v>
      </c>
      <c r="C81" s="139" t="s">
        <v>964</v>
      </c>
      <c r="D81" s="93" t="s">
        <v>851</v>
      </c>
      <c r="E81" s="307">
        <v>44196</v>
      </c>
      <c r="F81" s="5" t="s">
        <v>33</v>
      </c>
      <c r="G81" s="5">
        <v>2611005503</v>
      </c>
      <c r="H81" s="79"/>
      <c r="I81" s="78">
        <v>10</v>
      </c>
      <c r="J81" s="183"/>
      <c r="K81" s="179">
        <v>681</v>
      </c>
      <c r="L81" s="153" t="s">
        <v>435</v>
      </c>
      <c r="M81" s="153">
        <v>388</v>
      </c>
      <c r="N81" s="172">
        <v>12000</v>
      </c>
      <c r="O81" s="284">
        <f t="shared" ca="1" si="4"/>
        <v>43</v>
      </c>
      <c r="P81" s="270" t="s">
        <v>735</v>
      </c>
      <c r="Q81" s="153" t="s">
        <v>417</v>
      </c>
      <c r="R81" s="153">
        <v>557</v>
      </c>
      <c r="S81" s="270"/>
      <c r="T81" s="172">
        <v>12000</v>
      </c>
      <c r="U81" s="223">
        <f ca="1">ЦветЯчейки</f>
        <v>43</v>
      </c>
      <c r="V81" s="270" t="s">
        <v>1141</v>
      </c>
      <c r="W81" s="153" t="s">
        <v>417</v>
      </c>
      <c r="X81" s="153">
        <v>979</v>
      </c>
      <c r="Y81" s="270"/>
      <c r="Z81" s="172">
        <v>12000</v>
      </c>
      <c r="AA81" s="75">
        <f ca="1">ЦветЯчейки</f>
        <v>43</v>
      </c>
      <c r="AB81" s="142"/>
      <c r="AC81" s="75"/>
      <c r="AD81" s="75"/>
      <c r="AE81" s="75"/>
      <c r="AF81" s="75">
        <f ca="1">ЦветЯчейки</f>
        <v>0</v>
      </c>
      <c r="AG81" s="5"/>
      <c r="AH81" s="5"/>
    </row>
    <row r="82" spans="1:34" s="1" customFormat="1" ht="75" x14ac:dyDescent="0.25">
      <c r="A82" s="182">
        <v>79</v>
      </c>
      <c r="B82" s="160" t="s">
        <v>191</v>
      </c>
      <c r="C82" s="139" t="s">
        <v>965</v>
      </c>
      <c r="D82" s="93" t="s">
        <v>852</v>
      </c>
      <c r="E82" s="307">
        <v>44196</v>
      </c>
      <c r="F82" s="5" t="s">
        <v>33</v>
      </c>
      <c r="G82" s="5">
        <v>2608003746</v>
      </c>
      <c r="H82" s="79"/>
      <c r="I82" s="78">
        <v>2</v>
      </c>
      <c r="J82" s="183"/>
      <c r="K82" s="179">
        <v>698</v>
      </c>
      <c r="L82" s="143" t="s">
        <v>417</v>
      </c>
      <c r="M82" s="153">
        <v>283</v>
      </c>
      <c r="N82" s="172">
        <v>2400</v>
      </c>
      <c r="O82" s="284">
        <f t="shared" ca="1" si="4"/>
        <v>43</v>
      </c>
      <c r="P82" s="270" t="s">
        <v>744</v>
      </c>
      <c r="Q82" s="153" t="s">
        <v>417</v>
      </c>
      <c r="R82" s="153">
        <v>583</v>
      </c>
      <c r="S82" s="318"/>
      <c r="T82" s="172">
        <v>2400</v>
      </c>
      <c r="U82" s="223">
        <f ca="1">ЦветЯчейки</f>
        <v>43</v>
      </c>
      <c r="V82" s="268" t="s">
        <v>1102</v>
      </c>
      <c r="W82" s="143" t="s">
        <v>417</v>
      </c>
      <c r="X82" s="143">
        <v>896</v>
      </c>
      <c r="Y82" s="318"/>
      <c r="Z82" s="175">
        <v>2400</v>
      </c>
      <c r="AA82" s="75">
        <f ca="1">ЦветЯчейки</f>
        <v>3</v>
      </c>
      <c r="AB82" s="142"/>
      <c r="AC82" s="75"/>
      <c r="AD82" s="75"/>
      <c r="AE82" s="75"/>
      <c r="AF82" s="75">
        <f ca="1">ЦветЯчейки</f>
        <v>0</v>
      </c>
      <c r="AG82" s="5"/>
      <c r="AH82" s="5"/>
    </row>
    <row r="83" spans="1:34" s="1" customFormat="1" ht="75" x14ac:dyDescent="0.25">
      <c r="A83" s="182">
        <v>80</v>
      </c>
      <c r="B83" s="160" t="s">
        <v>419</v>
      </c>
      <c r="C83" s="139" t="s">
        <v>966</v>
      </c>
      <c r="D83" s="93" t="s">
        <v>1157</v>
      </c>
      <c r="E83" s="290"/>
      <c r="F83" s="5"/>
      <c r="G83" s="5">
        <v>2613006870</v>
      </c>
      <c r="H83" s="79"/>
      <c r="I83" s="78"/>
      <c r="J83" s="184">
        <v>10</v>
      </c>
      <c r="K83" s="180"/>
      <c r="L83" s="143"/>
      <c r="M83" s="143"/>
      <c r="N83" s="175"/>
      <c r="O83" s="284">
        <f t="shared" ca="1" si="4"/>
        <v>3</v>
      </c>
      <c r="P83" s="270" t="s">
        <v>1039</v>
      </c>
      <c r="Q83" s="153" t="s">
        <v>417</v>
      </c>
      <c r="R83" s="153">
        <v>767</v>
      </c>
      <c r="S83" s="270"/>
      <c r="T83" s="172">
        <v>9900</v>
      </c>
      <c r="U83" s="223">
        <f ca="1">ЦветЯчейки</f>
        <v>43</v>
      </c>
      <c r="V83" s="268" t="s">
        <v>1168</v>
      </c>
      <c r="W83" s="143" t="s">
        <v>417</v>
      </c>
      <c r="X83" s="143">
        <v>1024</v>
      </c>
      <c r="Y83" s="318"/>
      <c r="Z83" s="175">
        <v>9900</v>
      </c>
      <c r="AA83" s="75">
        <f ca="1">ЦветЯчейки</f>
        <v>3</v>
      </c>
      <c r="AB83" s="142"/>
      <c r="AC83" s="75"/>
      <c r="AD83" s="75"/>
      <c r="AE83" s="75"/>
      <c r="AF83" s="75">
        <f ca="1">ЦветЯчейки</f>
        <v>0</v>
      </c>
      <c r="AG83" s="5"/>
      <c r="AH83" s="5"/>
    </row>
    <row r="84" spans="1:34" s="1" customFormat="1" ht="51" customHeight="1" x14ac:dyDescent="0.25">
      <c r="A84" s="182">
        <v>81</v>
      </c>
      <c r="B84" s="161" t="s">
        <v>304</v>
      </c>
      <c r="C84" s="139" t="s">
        <v>967</v>
      </c>
      <c r="D84" s="93" t="s">
        <v>855</v>
      </c>
      <c r="E84" s="307">
        <v>44196</v>
      </c>
      <c r="F84" s="5" t="s">
        <v>33</v>
      </c>
      <c r="G84" s="75">
        <v>2619009274</v>
      </c>
      <c r="H84" s="5"/>
      <c r="I84" s="5">
        <v>11</v>
      </c>
      <c r="J84" s="183"/>
      <c r="K84" s="179">
        <v>731</v>
      </c>
      <c r="L84" s="143" t="s">
        <v>698</v>
      </c>
      <c r="M84" s="153">
        <v>361</v>
      </c>
      <c r="N84" s="172">
        <v>9000</v>
      </c>
      <c r="O84" s="284">
        <f t="shared" ca="1" si="4"/>
        <v>43</v>
      </c>
      <c r="P84" s="270" t="s">
        <v>1062</v>
      </c>
      <c r="Q84" s="153" t="s">
        <v>417</v>
      </c>
      <c r="R84" s="153">
        <v>801</v>
      </c>
      <c r="S84" s="318"/>
      <c r="T84" s="172">
        <v>11000</v>
      </c>
      <c r="U84" s="223">
        <f ca="1">ЦветЯчейки</f>
        <v>43</v>
      </c>
      <c r="V84" s="270" t="s">
        <v>1150</v>
      </c>
      <c r="W84" s="153" t="s">
        <v>417</v>
      </c>
      <c r="X84" s="153">
        <v>998</v>
      </c>
      <c r="Y84" s="270"/>
      <c r="Z84" s="172">
        <v>11000</v>
      </c>
      <c r="AA84" s="75">
        <f ca="1">ЦветЯчейки</f>
        <v>43</v>
      </c>
      <c r="AB84" s="173"/>
      <c r="AC84" s="75"/>
      <c r="AD84" s="75"/>
      <c r="AE84" s="75"/>
      <c r="AF84" s="75">
        <f ca="1">ЦветЯчейки</f>
        <v>0</v>
      </c>
      <c r="AG84" s="5"/>
      <c r="AH84" s="5"/>
    </row>
    <row r="85" spans="1:34" s="1" customFormat="1" ht="60" x14ac:dyDescent="0.25">
      <c r="A85" s="182">
        <v>82</v>
      </c>
      <c r="B85" s="160" t="s">
        <v>350</v>
      </c>
      <c r="C85" s="139" t="s">
        <v>968</v>
      </c>
      <c r="D85" s="221" t="s">
        <v>352</v>
      </c>
      <c r="E85" s="308">
        <v>44196</v>
      </c>
      <c r="F85" s="5" t="s">
        <v>33</v>
      </c>
      <c r="G85" s="5">
        <v>2617012810</v>
      </c>
      <c r="H85" s="5"/>
      <c r="I85" s="5">
        <v>2</v>
      </c>
      <c r="J85" s="183"/>
      <c r="K85" s="179">
        <v>691</v>
      </c>
      <c r="L85" s="153" t="s">
        <v>417</v>
      </c>
      <c r="M85" s="153">
        <v>272</v>
      </c>
      <c r="N85" s="172">
        <v>2400</v>
      </c>
      <c r="O85" s="284">
        <f t="shared" ca="1" si="4"/>
        <v>43</v>
      </c>
      <c r="P85" s="270"/>
      <c r="Q85" s="153"/>
      <c r="R85" s="153"/>
      <c r="S85" s="270"/>
      <c r="T85" s="172"/>
      <c r="U85" s="193">
        <f ca="1">ЦветЯчейки</f>
        <v>43</v>
      </c>
      <c r="V85" s="270" t="s">
        <v>1148</v>
      </c>
      <c r="W85" s="153" t="s">
        <v>417</v>
      </c>
      <c r="X85" s="153">
        <v>993</v>
      </c>
      <c r="Y85" s="270"/>
      <c r="Z85" s="172">
        <v>4800</v>
      </c>
      <c r="AA85" s="75">
        <f ca="1">ЦветЯчейки</f>
        <v>43</v>
      </c>
      <c r="AB85" s="145"/>
      <c r="AC85" s="146"/>
      <c r="AD85" s="146"/>
      <c r="AE85" s="146"/>
      <c r="AF85" s="75">
        <f ca="1">ЦветЯчейки</f>
        <v>0</v>
      </c>
      <c r="AG85" s="5"/>
      <c r="AH85" s="5"/>
    </row>
    <row r="86" spans="1:34" s="1" customFormat="1" ht="75" x14ac:dyDescent="0.25">
      <c r="A86" s="182">
        <v>83</v>
      </c>
      <c r="B86" s="160" t="s">
        <v>358</v>
      </c>
      <c r="C86" s="139" t="s">
        <v>969</v>
      </c>
      <c r="D86" s="221" t="s">
        <v>360</v>
      </c>
      <c r="E86" s="308">
        <v>44196</v>
      </c>
      <c r="F86" s="5" t="s">
        <v>33</v>
      </c>
      <c r="G86" s="5">
        <v>2607011977</v>
      </c>
      <c r="H86" s="79"/>
      <c r="I86" s="78">
        <v>2</v>
      </c>
      <c r="J86" s="183"/>
      <c r="K86" s="179">
        <v>786</v>
      </c>
      <c r="L86" s="153" t="s">
        <v>417</v>
      </c>
      <c r="M86" s="153">
        <v>498</v>
      </c>
      <c r="N86" s="172">
        <v>2400</v>
      </c>
      <c r="O86" s="284">
        <f t="shared" ca="1" si="4"/>
        <v>43</v>
      </c>
      <c r="P86" s="270" t="s">
        <v>817</v>
      </c>
      <c r="Q86" s="153" t="s">
        <v>417</v>
      </c>
      <c r="R86" s="153">
        <v>681</v>
      </c>
      <c r="S86" s="270"/>
      <c r="T86" s="172">
        <v>2400</v>
      </c>
      <c r="U86" s="223">
        <f ca="1">ЦветЯчейки</f>
        <v>43</v>
      </c>
      <c r="V86" s="268" t="s">
        <v>1185</v>
      </c>
      <c r="W86" s="143" t="s">
        <v>417</v>
      </c>
      <c r="X86" s="143">
        <v>1045</v>
      </c>
      <c r="Y86" s="318"/>
      <c r="Z86" s="175">
        <v>2400</v>
      </c>
      <c r="AA86" s="75">
        <f ca="1">ЦветЯчейки</f>
        <v>3</v>
      </c>
      <c r="AB86" s="142"/>
      <c r="AC86" s="75"/>
      <c r="AD86" s="75"/>
      <c r="AE86" s="75"/>
      <c r="AF86" s="75">
        <f ca="1">ЦветЯчейки</f>
        <v>0</v>
      </c>
      <c r="AG86" s="5"/>
      <c r="AH86" s="5"/>
    </row>
    <row r="87" spans="1:34" s="1" customFormat="1" ht="75" x14ac:dyDescent="0.25">
      <c r="A87" s="182">
        <v>84</v>
      </c>
      <c r="B87" s="160" t="s">
        <v>196</v>
      </c>
      <c r="C87" s="139" t="s">
        <v>970</v>
      </c>
      <c r="D87" s="221" t="s">
        <v>198</v>
      </c>
      <c r="E87" s="308">
        <v>44196</v>
      </c>
      <c r="F87" s="5" t="s">
        <v>33</v>
      </c>
      <c r="G87" s="5">
        <v>2607019567</v>
      </c>
      <c r="H87" s="79"/>
      <c r="I87" s="78">
        <v>1</v>
      </c>
      <c r="J87" s="183"/>
      <c r="K87" s="179">
        <v>724</v>
      </c>
      <c r="L87" s="153" t="s">
        <v>417</v>
      </c>
      <c r="M87" s="153">
        <v>325</v>
      </c>
      <c r="N87" s="172">
        <v>1200</v>
      </c>
      <c r="O87" s="284">
        <f t="shared" ca="1" si="4"/>
        <v>43</v>
      </c>
      <c r="P87" s="270" t="s">
        <v>773</v>
      </c>
      <c r="Q87" s="153" t="s">
        <v>417</v>
      </c>
      <c r="R87" s="153">
        <v>622</v>
      </c>
      <c r="S87" s="270"/>
      <c r="T87" s="172">
        <v>1200</v>
      </c>
      <c r="U87" s="223">
        <f ca="1">ЦветЯчейки</f>
        <v>43</v>
      </c>
      <c r="V87" s="270" t="s">
        <v>1130</v>
      </c>
      <c r="W87" s="153" t="s">
        <v>417</v>
      </c>
      <c r="X87" s="153">
        <v>967</v>
      </c>
      <c r="Y87" s="270"/>
      <c r="Z87" s="172">
        <v>1200</v>
      </c>
      <c r="AA87" s="75">
        <f ca="1">ЦветЯчейки</f>
        <v>43</v>
      </c>
      <c r="AB87" s="142"/>
      <c r="AC87" s="75"/>
      <c r="AD87" s="75"/>
      <c r="AE87" s="75"/>
      <c r="AF87" s="75">
        <f ca="1">ЦветЯчейки</f>
        <v>0</v>
      </c>
      <c r="AG87" s="5"/>
      <c r="AH87" s="5"/>
    </row>
    <row r="88" spans="1:34" s="1" customFormat="1" ht="78" customHeight="1" x14ac:dyDescent="0.25">
      <c r="A88" s="182">
        <v>85</v>
      </c>
      <c r="B88" s="160" t="s">
        <v>375</v>
      </c>
      <c r="C88" s="139" t="s">
        <v>971</v>
      </c>
      <c r="D88" s="221" t="s">
        <v>377</v>
      </c>
      <c r="E88" s="308">
        <v>44196</v>
      </c>
      <c r="F88" s="5" t="s">
        <v>33</v>
      </c>
      <c r="G88" s="5">
        <v>2617002354</v>
      </c>
      <c r="H88" s="79"/>
      <c r="I88" s="78">
        <v>1</v>
      </c>
      <c r="J88" s="183"/>
      <c r="K88" s="179">
        <v>748</v>
      </c>
      <c r="L88" s="153" t="s">
        <v>417</v>
      </c>
      <c r="M88" s="153">
        <v>403</v>
      </c>
      <c r="N88" s="172">
        <v>1200</v>
      </c>
      <c r="O88" s="284">
        <f t="shared" ca="1" si="4"/>
        <v>43</v>
      </c>
      <c r="P88" s="270" t="s">
        <v>793</v>
      </c>
      <c r="Q88" s="153" t="s">
        <v>417</v>
      </c>
      <c r="R88" s="153">
        <v>648</v>
      </c>
      <c r="S88" s="270"/>
      <c r="T88" s="172">
        <v>1200</v>
      </c>
      <c r="U88" s="223">
        <f ca="1">ЦветЯчейки</f>
        <v>43</v>
      </c>
      <c r="V88" s="268" t="s">
        <v>1162</v>
      </c>
      <c r="W88" s="143" t="s">
        <v>417</v>
      </c>
      <c r="X88" s="143">
        <v>1017</v>
      </c>
      <c r="Y88" s="318"/>
      <c r="Z88" s="175">
        <v>1200</v>
      </c>
      <c r="AA88" s="75">
        <f ca="1">ЦветЯчейки</f>
        <v>3</v>
      </c>
      <c r="AB88" s="142"/>
      <c r="AC88" s="75"/>
      <c r="AD88" s="75"/>
      <c r="AE88" s="75"/>
      <c r="AF88" s="75">
        <f ca="1">ЦветЯчейки</f>
        <v>0</v>
      </c>
      <c r="AG88" s="5"/>
      <c r="AH88" s="5"/>
    </row>
    <row r="89" spans="1:34" s="1" customFormat="1" ht="73.5" customHeight="1" x14ac:dyDescent="0.25">
      <c r="A89" s="182">
        <v>86</v>
      </c>
      <c r="B89" s="160" t="s">
        <v>248</v>
      </c>
      <c r="C89" s="139" t="s">
        <v>972</v>
      </c>
      <c r="D89" s="221" t="s">
        <v>249</v>
      </c>
      <c r="E89" s="308">
        <v>44196</v>
      </c>
      <c r="F89" s="5" t="s">
        <v>33</v>
      </c>
      <c r="G89" s="5">
        <v>2607019503</v>
      </c>
      <c r="H89" s="5"/>
      <c r="I89" s="5">
        <v>7</v>
      </c>
      <c r="J89" s="183"/>
      <c r="K89" s="179">
        <v>726</v>
      </c>
      <c r="L89" s="153" t="s">
        <v>417</v>
      </c>
      <c r="M89" s="153">
        <v>327</v>
      </c>
      <c r="N89" s="172">
        <v>8400</v>
      </c>
      <c r="O89" s="324">
        <f t="shared" ca="1" si="4"/>
        <v>43</v>
      </c>
      <c r="P89" s="270" t="s">
        <v>782</v>
      </c>
      <c r="Q89" s="153" t="s">
        <v>417</v>
      </c>
      <c r="R89" s="153">
        <v>632</v>
      </c>
      <c r="S89" s="270"/>
      <c r="T89" s="172">
        <v>8400</v>
      </c>
      <c r="U89" s="223">
        <f ca="1">ЦветЯчейки</f>
        <v>43</v>
      </c>
      <c r="V89" s="268" t="s">
        <v>1166</v>
      </c>
      <c r="W89" s="143" t="s">
        <v>417</v>
      </c>
      <c r="X89" s="143">
        <v>1022</v>
      </c>
      <c r="Y89" s="318"/>
      <c r="Z89" s="175">
        <v>8400</v>
      </c>
      <c r="AA89" s="75">
        <f ca="1">ЦветЯчейки</f>
        <v>3</v>
      </c>
      <c r="AB89" s="142"/>
      <c r="AC89" s="75"/>
      <c r="AD89" s="75"/>
      <c r="AE89" s="75"/>
      <c r="AF89" s="75">
        <f ca="1">ЦветЯчейки</f>
        <v>0</v>
      </c>
      <c r="AG89" s="5"/>
      <c r="AH89" s="5"/>
    </row>
    <row r="90" spans="1:34" s="1" customFormat="1" ht="75" x14ac:dyDescent="0.25">
      <c r="A90" s="182">
        <v>87</v>
      </c>
      <c r="B90" s="160" t="s">
        <v>361</v>
      </c>
      <c r="C90" s="139" t="s">
        <v>973</v>
      </c>
      <c r="D90" s="221" t="s">
        <v>363</v>
      </c>
      <c r="E90" s="308">
        <v>44196</v>
      </c>
      <c r="F90" s="5" t="s">
        <v>33</v>
      </c>
      <c r="G90" s="5">
        <v>2607016132</v>
      </c>
      <c r="H90" s="79"/>
      <c r="I90" s="78">
        <v>2</v>
      </c>
      <c r="J90" s="183"/>
      <c r="K90" s="179">
        <v>787</v>
      </c>
      <c r="L90" s="153" t="s">
        <v>417</v>
      </c>
      <c r="M90" s="153">
        <v>499</v>
      </c>
      <c r="N90" s="172">
        <v>2400</v>
      </c>
      <c r="O90" s="284">
        <f t="shared" ca="1" si="4"/>
        <v>43</v>
      </c>
      <c r="P90" s="270" t="s">
        <v>818</v>
      </c>
      <c r="Q90" s="153" t="s">
        <v>417</v>
      </c>
      <c r="R90" s="153">
        <v>682</v>
      </c>
      <c r="S90" s="270"/>
      <c r="T90" s="172">
        <v>2400</v>
      </c>
      <c r="U90" s="223">
        <f ca="1">ЦветЯчейки</f>
        <v>43</v>
      </c>
      <c r="V90" s="268" t="s">
        <v>1186</v>
      </c>
      <c r="W90" s="143" t="s">
        <v>417</v>
      </c>
      <c r="X90" s="143">
        <v>1046</v>
      </c>
      <c r="Y90" s="318"/>
      <c r="Z90" s="175">
        <v>2400</v>
      </c>
      <c r="AA90" s="75">
        <f ca="1">ЦветЯчейки</f>
        <v>3</v>
      </c>
      <c r="AB90" s="142"/>
      <c r="AC90" s="75"/>
      <c r="AD90" s="75"/>
      <c r="AE90" s="75"/>
      <c r="AF90" s="75">
        <f ca="1">ЦветЯчейки</f>
        <v>0</v>
      </c>
      <c r="AG90" s="5"/>
      <c r="AH90" s="5"/>
    </row>
    <row r="91" spans="1:34" s="1" customFormat="1" ht="75" x14ac:dyDescent="0.25">
      <c r="A91" s="182">
        <v>88</v>
      </c>
      <c r="B91" s="160" t="s">
        <v>188</v>
      </c>
      <c r="C91" s="139" t="s">
        <v>974</v>
      </c>
      <c r="D91" s="221" t="s">
        <v>189</v>
      </c>
      <c r="E91" s="308">
        <v>44196</v>
      </c>
      <c r="F91" s="5" t="s">
        <v>33</v>
      </c>
      <c r="G91" s="5">
        <v>2602000587</v>
      </c>
      <c r="H91" s="79"/>
      <c r="I91" s="78">
        <v>1</v>
      </c>
      <c r="J91" s="183"/>
      <c r="K91" s="179">
        <v>788</v>
      </c>
      <c r="L91" s="153" t="s">
        <v>417</v>
      </c>
      <c r="M91" s="153">
        <v>500</v>
      </c>
      <c r="N91" s="172">
        <v>1200</v>
      </c>
      <c r="O91" s="284">
        <f t="shared" ca="1" si="4"/>
        <v>43</v>
      </c>
      <c r="P91" s="270" t="s">
        <v>786</v>
      </c>
      <c r="Q91" s="153" t="s">
        <v>417</v>
      </c>
      <c r="R91" s="153">
        <v>638</v>
      </c>
      <c r="S91" s="318"/>
      <c r="T91" s="172">
        <v>1200</v>
      </c>
      <c r="U91" s="223">
        <f ca="1">ЦветЯчейки</f>
        <v>43</v>
      </c>
      <c r="V91" s="270" t="s">
        <v>1109</v>
      </c>
      <c r="W91" s="153" t="s">
        <v>417</v>
      </c>
      <c r="X91" s="153">
        <v>937</v>
      </c>
      <c r="Y91" s="270"/>
      <c r="Z91" s="172">
        <v>1200</v>
      </c>
      <c r="AA91" s="75">
        <f ca="1">ЦветЯчейки</f>
        <v>43</v>
      </c>
      <c r="AB91" s="142"/>
      <c r="AC91" s="75"/>
      <c r="AD91" s="75"/>
      <c r="AE91" s="75"/>
      <c r="AF91" s="75">
        <f ca="1">ЦветЯчейки</f>
        <v>0</v>
      </c>
      <c r="AG91" s="5"/>
      <c r="AH91" s="5"/>
    </row>
    <row r="92" spans="1:34" s="1" customFormat="1" ht="60" x14ac:dyDescent="0.25">
      <c r="A92" s="182">
        <v>89</v>
      </c>
      <c r="B92" s="160" t="s">
        <v>479</v>
      </c>
      <c r="C92" s="139" t="s">
        <v>975</v>
      </c>
      <c r="D92" s="221" t="s">
        <v>118</v>
      </c>
      <c r="E92" s="308">
        <v>44196</v>
      </c>
      <c r="F92" s="75" t="s">
        <v>33</v>
      </c>
      <c r="G92" s="5">
        <v>2608800685</v>
      </c>
      <c r="H92" s="5"/>
      <c r="I92" s="78">
        <v>1</v>
      </c>
      <c r="J92" s="183"/>
      <c r="K92" s="180">
        <v>678</v>
      </c>
      <c r="L92" s="143" t="s">
        <v>417</v>
      </c>
      <c r="M92" s="143">
        <v>228</v>
      </c>
      <c r="N92" s="175">
        <v>6000</v>
      </c>
      <c r="O92" s="284">
        <f t="shared" ca="1" si="4"/>
        <v>3</v>
      </c>
      <c r="P92" s="142"/>
      <c r="Q92" s="142"/>
      <c r="R92" s="142"/>
      <c r="S92" s="318"/>
      <c r="T92" s="142"/>
      <c r="U92" s="223">
        <f ca="1">ЦветЯчейки</f>
        <v>0</v>
      </c>
      <c r="V92" s="142"/>
      <c r="W92" s="142"/>
      <c r="X92" s="142"/>
      <c r="Y92" s="142"/>
      <c r="Z92" s="142"/>
      <c r="AA92" s="75">
        <f ca="1">ЦветЯчейки</f>
        <v>0</v>
      </c>
      <c r="AB92" s="142"/>
      <c r="AC92" s="75"/>
      <c r="AD92" s="75"/>
      <c r="AE92" s="75"/>
      <c r="AF92" s="75">
        <f ca="1">ЦветЯчейки</f>
        <v>0</v>
      </c>
      <c r="AG92" s="5"/>
      <c r="AH92" s="5"/>
    </row>
    <row r="93" spans="1:34" s="1" customFormat="1" ht="60" x14ac:dyDescent="0.25">
      <c r="A93" s="182">
        <v>90</v>
      </c>
      <c r="B93" s="161" t="s">
        <v>297</v>
      </c>
      <c r="C93" s="139" t="s">
        <v>976</v>
      </c>
      <c r="D93" s="221" t="s">
        <v>296</v>
      </c>
      <c r="E93" s="308">
        <v>44196</v>
      </c>
      <c r="F93" s="5" t="s">
        <v>33</v>
      </c>
      <c r="G93" s="5">
        <v>2608800357</v>
      </c>
      <c r="H93" s="5"/>
      <c r="I93" s="5">
        <v>1</v>
      </c>
      <c r="J93" s="183"/>
      <c r="K93" s="179">
        <v>777</v>
      </c>
      <c r="L93" s="153" t="s">
        <v>417</v>
      </c>
      <c r="M93" s="153">
        <v>481</v>
      </c>
      <c r="N93" s="172">
        <v>1200</v>
      </c>
      <c r="O93" s="284">
        <f t="shared" ca="1" si="4"/>
        <v>43</v>
      </c>
      <c r="P93" s="270" t="s">
        <v>800</v>
      </c>
      <c r="Q93" s="153" t="s">
        <v>417</v>
      </c>
      <c r="R93" s="153">
        <v>659</v>
      </c>
      <c r="S93" s="270"/>
      <c r="T93" s="172">
        <v>1200</v>
      </c>
      <c r="U93" s="223">
        <f ca="1">ЦветЯчейки</f>
        <v>43</v>
      </c>
      <c r="V93" s="271" t="s">
        <v>1085</v>
      </c>
      <c r="W93" s="143" t="s">
        <v>417</v>
      </c>
      <c r="X93" s="245">
        <v>868</v>
      </c>
      <c r="Y93" s="320"/>
      <c r="Z93" s="175">
        <v>1200</v>
      </c>
      <c r="AA93" s="75">
        <f ca="1">ЦветЯчейки</f>
        <v>3</v>
      </c>
      <c r="AB93" s="142"/>
      <c r="AC93" s="75"/>
      <c r="AD93" s="75"/>
      <c r="AE93" s="75"/>
      <c r="AF93" s="75">
        <f ca="1">ЦветЯчейки</f>
        <v>0</v>
      </c>
      <c r="AG93" s="5"/>
      <c r="AH93" s="5"/>
    </row>
    <row r="94" spans="1:34" s="1" customFormat="1" ht="60" x14ac:dyDescent="0.25">
      <c r="A94" s="182">
        <v>91</v>
      </c>
      <c r="B94" s="162" t="s">
        <v>337</v>
      </c>
      <c r="C94" s="150" t="s">
        <v>977</v>
      </c>
      <c r="D94" s="221" t="s">
        <v>339</v>
      </c>
      <c r="E94" s="308">
        <v>44196</v>
      </c>
      <c r="F94" s="5" t="s">
        <v>33</v>
      </c>
      <c r="G94" s="5">
        <v>7709239289</v>
      </c>
      <c r="H94" s="5"/>
      <c r="I94" s="5">
        <v>2</v>
      </c>
      <c r="J94" s="183"/>
      <c r="K94" s="180"/>
      <c r="L94" s="143"/>
      <c r="M94" s="143"/>
      <c r="N94" s="175"/>
      <c r="O94" s="284">
        <f t="shared" ca="1" si="4"/>
        <v>3</v>
      </c>
      <c r="P94" s="271" t="s">
        <v>766</v>
      </c>
      <c r="Q94" s="143" t="s">
        <v>417</v>
      </c>
      <c r="R94" s="245">
        <v>610</v>
      </c>
      <c r="S94" s="320"/>
      <c r="T94" s="175">
        <v>2400</v>
      </c>
      <c r="U94" s="223">
        <f ca="1">ЦветЯчейки</f>
        <v>3</v>
      </c>
      <c r="V94" s="142"/>
      <c r="W94" s="142"/>
      <c r="X94" s="142"/>
      <c r="Y94" s="142"/>
      <c r="Z94" s="173"/>
      <c r="AA94" s="75">
        <f ca="1">ЦветЯчейки</f>
        <v>0</v>
      </c>
      <c r="AB94" s="142"/>
      <c r="AC94" s="75"/>
      <c r="AD94" s="75"/>
      <c r="AE94" s="75"/>
      <c r="AF94" s="75">
        <f ca="1">ЦветЯчейки</f>
        <v>0</v>
      </c>
      <c r="AG94" s="5"/>
      <c r="AH94" s="5"/>
    </row>
    <row r="95" spans="1:34" s="1" customFormat="1" ht="75" x14ac:dyDescent="0.25">
      <c r="A95" s="182">
        <v>92</v>
      </c>
      <c r="B95" s="100" t="s">
        <v>436</v>
      </c>
      <c r="C95" s="100" t="s">
        <v>978</v>
      </c>
      <c r="D95" s="31" t="s">
        <v>687</v>
      </c>
      <c r="E95" s="299"/>
      <c r="F95" s="5" t="s">
        <v>33</v>
      </c>
      <c r="G95" s="3">
        <v>2605010625</v>
      </c>
      <c r="H95" s="5"/>
      <c r="I95" s="5"/>
      <c r="J95" s="183">
        <v>13</v>
      </c>
      <c r="K95" s="179">
        <v>725</v>
      </c>
      <c r="L95" s="153" t="s">
        <v>417</v>
      </c>
      <c r="M95" s="153">
        <v>326</v>
      </c>
      <c r="N95" s="172">
        <v>10800</v>
      </c>
      <c r="O95" s="284">
        <f t="shared" ca="1" si="4"/>
        <v>43</v>
      </c>
      <c r="P95" s="275" t="s">
        <v>792</v>
      </c>
      <c r="Q95" s="153" t="s">
        <v>417</v>
      </c>
      <c r="R95" s="206">
        <v>647</v>
      </c>
      <c r="S95" s="276"/>
      <c r="T95" s="172">
        <v>10800</v>
      </c>
      <c r="U95" s="223">
        <f ca="1">ЦветЯчейки</f>
        <v>43</v>
      </c>
      <c r="V95" s="275" t="s">
        <v>1163</v>
      </c>
      <c r="W95" s="153" t="s">
        <v>417</v>
      </c>
      <c r="X95" s="206">
        <v>1016</v>
      </c>
      <c r="Y95" s="276"/>
      <c r="Z95" s="172">
        <v>15600</v>
      </c>
      <c r="AA95" s="75">
        <f ca="1">ЦветЯчейки</f>
        <v>43</v>
      </c>
      <c r="AB95" s="142"/>
      <c r="AC95" s="75"/>
      <c r="AD95" s="75"/>
      <c r="AE95" s="75"/>
      <c r="AF95" s="75">
        <f ca="1">ЦветЯчейки</f>
        <v>0</v>
      </c>
      <c r="AG95" s="5"/>
      <c r="AH95" s="5"/>
    </row>
    <row r="96" spans="1:34" s="1" customFormat="1" ht="60" x14ac:dyDescent="0.25">
      <c r="A96" s="182">
        <v>93</v>
      </c>
      <c r="B96" s="100" t="s">
        <v>443</v>
      </c>
      <c r="C96" s="100" t="s">
        <v>979</v>
      </c>
      <c r="D96" s="108" t="s">
        <v>857</v>
      </c>
      <c r="E96" s="310" t="s">
        <v>856</v>
      </c>
      <c r="F96" s="5" t="s">
        <v>33</v>
      </c>
      <c r="G96" s="3">
        <v>2622001927</v>
      </c>
      <c r="H96" s="5"/>
      <c r="I96" s="5"/>
      <c r="J96" s="183">
        <v>5</v>
      </c>
      <c r="K96" s="179">
        <v>730</v>
      </c>
      <c r="L96" s="153" t="s">
        <v>455</v>
      </c>
      <c r="M96" s="153">
        <v>359</v>
      </c>
      <c r="N96" s="172">
        <v>4750</v>
      </c>
      <c r="O96" s="284">
        <f t="shared" ca="1" si="4"/>
        <v>43</v>
      </c>
      <c r="P96" s="275" t="s">
        <v>791</v>
      </c>
      <c r="Q96" s="143" t="s">
        <v>417</v>
      </c>
      <c r="R96" s="206">
        <v>646</v>
      </c>
      <c r="S96" s="320"/>
      <c r="T96" s="172">
        <v>4750</v>
      </c>
      <c r="U96" s="223">
        <f ca="1">ЦветЯчейки</f>
        <v>43</v>
      </c>
      <c r="V96" s="142"/>
      <c r="W96" s="142"/>
      <c r="X96" s="142"/>
      <c r="Y96" s="142"/>
      <c r="Z96" s="173"/>
      <c r="AA96" s="75">
        <f ca="1">ЦветЯчейки</f>
        <v>0</v>
      </c>
      <c r="AB96" s="142"/>
      <c r="AC96" s="75"/>
      <c r="AD96" s="75"/>
      <c r="AE96" s="75"/>
      <c r="AF96" s="75">
        <f ca="1">ЦветЯчейки</f>
        <v>0</v>
      </c>
      <c r="AG96" s="5"/>
      <c r="AH96" s="5"/>
    </row>
    <row r="97" spans="1:34" s="1" customFormat="1" ht="16.5" hidden="1" customHeight="1" x14ac:dyDescent="0.25">
      <c r="A97" s="182">
        <v>94</v>
      </c>
      <c r="B97" s="25" t="s">
        <v>458</v>
      </c>
      <c r="C97" s="25" t="s">
        <v>980</v>
      </c>
      <c r="D97" s="41"/>
      <c r="E97" s="296"/>
      <c r="F97" s="5"/>
      <c r="G97" s="5">
        <v>2636032629</v>
      </c>
      <c r="H97" s="5"/>
      <c r="I97" s="5"/>
      <c r="J97" s="183"/>
      <c r="K97" s="177"/>
      <c r="L97" s="142"/>
      <c r="M97" s="142"/>
      <c r="N97" s="173"/>
      <c r="O97" s="284">
        <f t="shared" ca="1" si="4"/>
        <v>0</v>
      </c>
      <c r="P97" s="177"/>
      <c r="Q97" s="142"/>
      <c r="R97" s="142"/>
      <c r="S97" s="318"/>
      <c r="T97" s="173"/>
      <c r="U97" s="223">
        <f ca="1">ЦветЯчейки</f>
        <v>0</v>
      </c>
      <c r="V97" s="142"/>
      <c r="W97" s="142"/>
      <c r="X97" s="142"/>
      <c r="Y97" s="142"/>
      <c r="Z97" s="173"/>
      <c r="AA97" s="75">
        <f ca="1">ЦветЯчейки</f>
        <v>0</v>
      </c>
      <c r="AB97" s="142"/>
      <c r="AC97" s="75"/>
      <c r="AD97" s="75"/>
      <c r="AE97" s="75"/>
      <c r="AF97" s="75">
        <f ca="1">ЦветЯчейки</f>
        <v>0</v>
      </c>
      <c r="AG97" s="5"/>
      <c r="AH97" s="5"/>
    </row>
    <row r="98" spans="1:34" s="1" customFormat="1" ht="60" x14ac:dyDescent="0.25">
      <c r="A98" s="182">
        <v>95</v>
      </c>
      <c r="B98" s="139" t="s">
        <v>713</v>
      </c>
      <c r="C98" s="266" t="s">
        <v>981</v>
      </c>
      <c r="D98" s="41" t="s">
        <v>858</v>
      </c>
      <c r="E98" s="296">
        <v>44196</v>
      </c>
      <c r="F98" s="5" t="s">
        <v>33</v>
      </c>
      <c r="G98" s="5">
        <v>2636032629</v>
      </c>
      <c r="H98" s="5"/>
      <c r="I98" s="5"/>
      <c r="J98" s="183">
        <v>1</v>
      </c>
      <c r="K98" s="267"/>
      <c r="L98" s="179"/>
      <c r="M98" s="153"/>
      <c r="N98" s="172"/>
      <c r="O98" s="284">
        <f t="shared" ca="1" si="4"/>
        <v>43</v>
      </c>
      <c r="P98" s="275" t="s">
        <v>732</v>
      </c>
      <c r="Q98" s="153" t="s">
        <v>417</v>
      </c>
      <c r="R98" s="206">
        <v>553</v>
      </c>
      <c r="S98" s="320"/>
      <c r="T98" s="172">
        <v>1200</v>
      </c>
      <c r="U98" s="223">
        <f ca="1">ЦветЯчейки</f>
        <v>43</v>
      </c>
      <c r="V98" s="275" t="s">
        <v>1104</v>
      </c>
      <c r="W98" s="153" t="s">
        <v>417</v>
      </c>
      <c r="X98" s="206">
        <v>885</v>
      </c>
      <c r="Y98" s="276"/>
      <c r="Z98" s="172">
        <v>1200</v>
      </c>
      <c r="AA98" s="75">
        <f ca="1">ЦветЯчейки</f>
        <v>43</v>
      </c>
      <c r="AB98" s="142"/>
      <c r="AC98" s="75"/>
      <c r="AD98" s="75"/>
      <c r="AE98" s="75"/>
      <c r="AF98" s="75">
        <f ca="1">ЦветЯчейки</f>
        <v>0</v>
      </c>
      <c r="AG98" s="5"/>
      <c r="AH98" s="5"/>
    </row>
    <row r="99" spans="1:34" s="1" customFormat="1" ht="60" x14ac:dyDescent="0.25">
      <c r="A99" s="182">
        <v>96</v>
      </c>
      <c r="B99" s="214" t="s">
        <v>206</v>
      </c>
      <c r="C99" s="214" t="s">
        <v>982</v>
      </c>
      <c r="D99" s="93" t="s">
        <v>859</v>
      </c>
      <c r="E99" s="296">
        <v>44196</v>
      </c>
      <c r="F99" s="5" t="s">
        <v>33</v>
      </c>
      <c r="G99" s="3">
        <v>910003300</v>
      </c>
      <c r="H99" s="5"/>
      <c r="I99" s="5"/>
      <c r="J99" s="183">
        <v>39</v>
      </c>
      <c r="K99" s="179">
        <v>693</v>
      </c>
      <c r="L99" s="153" t="s">
        <v>417</v>
      </c>
      <c r="M99" s="153">
        <v>278</v>
      </c>
      <c r="N99" s="172">
        <v>39000</v>
      </c>
      <c r="O99" s="284">
        <f t="shared" ca="1" si="4"/>
        <v>43</v>
      </c>
      <c r="P99" s="275" t="s">
        <v>885</v>
      </c>
      <c r="Q99" s="153" t="s">
        <v>417</v>
      </c>
      <c r="R99" s="206">
        <v>744</v>
      </c>
      <c r="S99" s="276"/>
      <c r="T99" s="172">
        <v>39000</v>
      </c>
      <c r="U99" s="223">
        <f ca="1">ЦветЯчейки</f>
        <v>43</v>
      </c>
      <c r="V99" s="275" t="s">
        <v>1096</v>
      </c>
      <c r="W99" s="153" t="s">
        <v>417</v>
      </c>
      <c r="X99" s="206">
        <v>887</v>
      </c>
      <c r="Y99" s="276"/>
      <c r="Z99" s="172">
        <v>39000</v>
      </c>
      <c r="AA99" s="75">
        <f ca="1">ЦветЯчейки</f>
        <v>43</v>
      </c>
      <c r="AB99" s="142"/>
      <c r="AC99" s="75"/>
      <c r="AD99" s="75"/>
      <c r="AE99" s="75"/>
      <c r="AF99" s="75">
        <f ca="1">ЦветЯчейки</f>
        <v>0</v>
      </c>
      <c r="AG99" s="5"/>
      <c r="AH99" s="5"/>
    </row>
    <row r="100" spans="1:34" s="1" customFormat="1" ht="60" x14ac:dyDescent="0.25">
      <c r="A100" s="182">
        <v>97</v>
      </c>
      <c r="B100" s="100" t="s">
        <v>464</v>
      </c>
      <c r="C100" s="100" t="s">
        <v>983</v>
      </c>
      <c r="D100" s="93" t="s">
        <v>860</v>
      </c>
      <c r="E100" s="296">
        <v>44196</v>
      </c>
      <c r="F100" s="5" t="s">
        <v>33</v>
      </c>
      <c r="G100" s="3">
        <v>2614015309</v>
      </c>
      <c r="H100" s="5"/>
      <c r="I100" s="5"/>
      <c r="J100" s="183">
        <v>12</v>
      </c>
      <c r="K100" s="179">
        <v>727</v>
      </c>
      <c r="L100" s="153" t="s">
        <v>417</v>
      </c>
      <c r="M100" s="153">
        <v>328</v>
      </c>
      <c r="N100" s="172">
        <v>12000</v>
      </c>
      <c r="O100" s="284">
        <f ca="1">ЦветЯчейки</f>
        <v>43</v>
      </c>
      <c r="P100" s="271" t="s">
        <v>787</v>
      </c>
      <c r="Q100" s="143" t="s">
        <v>417</v>
      </c>
      <c r="R100" s="245" t="s">
        <v>820</v>
      </c>
      <c r="S100" s="320"/>
      <c r="T100" s="175">
        <v>12000</v>
      </c>
      <c r="U100" s="223">
        <f ca="1">ЦветЯчейки</f>
        <v>3</v>
      </c>
      <c r="V100" s="271" t="s">
        <v>1201</v>
      </c>
      <c r="W100" s="143" t="s">
        <v>417</v>
      </c>
      <c r="X100" s="245" t="s">
        <v>1202</v>
      </c>
      <c r="Y100" s="320"/>
      <c r="Z100" s="175">
        <v>12000</v>
      </c>
      <c r="AA100" s="75">
        <f t="shared" ref="AA100:AA134" ca="1" si="5">ЦветЯчейки</f>
        <v>3</v>
      </c>
      <c r="AB100" s="142"/>
      <c r="AC100" s="75"/>
      <c r="AD100" s="75"/>
      <c r="AE100" s="75"/>
      <c r="AF100" s="75">
        <f ca="1">ЦветЯчейки</f>
        <v>0</v>
      </c>
      <c r="AG100" s="5"/>
      <c r="AH100" s="5"/>
    </row>
    <row r="101" spans="1:34" s="1" customFormat="1" ht="45" x14ac:dyDescent="0.25">
      <c r="A101" s="182">
        <v>98</v>
      </c>
      <c r="B101" s="252" t="s">
        <v>505</v>
      </c>
      <c r="C101" s="253" t="s">
        <v>984</v>
      </c>
      <c r="D101" s="221" t="s">
        <v>507</v>
      </c>
      <c r="E101" s="308">
        <v>44196</v>
      </c>
      <c r="F101" s="3" t="s">
        <v>33</v>
      </c>
      <c r="G101" s="3">
        <v>6229071563</v>
      </c>
      <c r="H101" s="5"/>
      <c r="I101" s="5"/>
      <c r="J101" s="183">
        <v>3</v>
      </c>
      <c r="K101" s="271"/>
      <c r="L101" s="143"/>
      <c r="M101" s="245"/>
      <c r="N101" s="272"/>
      <c r="O101" s="284">
        <f ca="1">ЦветЯчейки</f>
        <v>3</v>
      </c>
      <c r="P101" s="271" t="s">
        <v>1067</v>
      </c>
      <c r="Q101" s="143" t="s">
        <v>416</v>
      </c>
      <c r="R101" s="245">
        <v>848</v>
      </c>
      <c r="S101" s="320"/>
      <c r="T101" s="175">
        <v>2400</v>
      </c>
      <c r="U101" s="223">
        <f ca="1">ЦветЯчейки</f>
        <v>3</v>
      </c>
      <c r="V101" s="142"/>
      <c r="W101" s="142"/>
      <c r="X101" s="142"/>
      <c r="Y101" s="142"/>
      <c r="Z101" s="173"/>
      <c r="AA101" s="75">
        <f t="shared" ca="1" si="5"/>
        <v>0</v>
      </c>
      <c r="AB101" s="142"/>
      <c r="AC101" s="75"/>
      <c r="AD101" s="75"/>
      <c r="AE101" s="75"/>
      <c r="AF101" s="75">
        <f ca="1">ЦветЯчейки</f>
        <v>0</v>
      </c>
      <c r="AG101" s="5"/>
      <c r="AH101" s="5"/>
    </row>
    <row r="102" spans="1:34" s="1" customFormat="1" ht="60" x14ac:dyDescent="0.25">
      <c r="A102" s="182">
        <v>99</v>
      </c>
      <c r="B102" s="32" t="s">
        <v>510</v>
      </c>
      <c r="C102" s="32" t="s">
        <v>985</v>
      </c>
      <c r="D102" s="221" t="s">
        <v>512</v>
      </c>
      <c r="E102" s="308">
        <v>44196</v>
      </c>
      <c r="F102" s="3" t="s">
        <v>33</v>
      </c>
      <c r="G102" s="3">
        <v>5835121251</v>
      </c>
      <c r="H102" s="5"/>
      <c r="I102" s="5"/>
      <c r="J102" s="183">
        <v>10</v>
      </c>
      <c r="K102" s="179">
        <v>740</v>
      </c>
      <c r="L102" s="153" t="s">
        <v>435</v>
      </c>
      <c r="M102" s="153">
        <v>386</v>
      </c>
      <c r="N102" s="172">
        <v>8400</v>
      </c>
      <c r="O102" s="284">
        <f ca="1">ЦветЯчейки</f>
        <v>43</v>
      </c>
      <c r="P102" s="271" t="s">
        <v>1043</v>
      </c>
      <c r="Q102" s="153" t="s">
        <v>449</v>
      </c>
      <c r="R102" s="245">
        <v>771</v>
      </c>
      <c r="S102" s="320"/>
      <c r="T102" s="175">
        <v>8400</v>
      </c>
      <c r="U102" s="223">
        <f ca="1">ЦветЯчейки</f>
        <v>3</v>
      </c>
      <c r="V102" s="142"/>
      <c r="W102" s="142"/>
      <c r="X102" s="142"/>
      <c r="Y102" s="142"/>
      <c r="Z102" s="142"/>
      <c r="AA102" s="75">
        <f t="shared" ca="1" si="5"/>
        <v>0</v>
      </c>
      <c r="AB102" s="142"/>
      <c r="AC102" s="142"/>
      <c r="AD102" s="142"/>
      <c r="AE102" s="173"/>
      <c r="AF102" s="75">
        <f ca="1">ЦветЯчейки</f>
        <v>0</v>
      </c>
      <c r="AG102" s="75"/>
      <c r="AH102" s="75"/>
    </row>
    <row r="103" spans="1:34" s="1" customFormat="1" ht="75" x14ac:dyDescent="0.25">
      <c r="A103" s="182">
        <v>100</v>
      </c>
      <c r="B103" s="139" t="s">
        <v>513</v>
      </c>
      <c r="C103" s="100" t="s">
        <v>986</v>
      </c>
      <c r="D103" s="93" t="s">
        <v>862</v>
      </c>
      <c r="E103" s="307">
        <v>44196</v>
      </c>
      <c r="F103" s="3" t="s">
        <v>33</v>
      </c>
      <c r="G103" s="3">
        <v>2636032629</v>
      </c>
      <c r="H103" s="5"/>
      <c r="I103" s="5">
        <v>2</v>
      </c>
      <c r="J103" s="183"/>
      <c r="K103" s="275"/>
      <c r="L103" s="153"/>
      <c r="M103" s="206"/>
      <c r="N103" s="276"/>
      <c r="O103" s="284">
        <f ca="1">ЦветЯчейки</f>
        <v>43</v>
      </c>
      <c r="P103" s="275" t="s">
        <v>892</v>
      </c>
      <c r="Q103" s="153" t="s">
        <v>417</v>
      </c>
      <c r="R103" s="206">
        <v>757</v>
      </c>
      <c r="S103" s="276"/>
      <c r="T103" s="172">
        <v>4800</v>
      </c>
      <c r="U103" s="223">
        <f ca="1">ЦветЯчейки</f>
        <v>43</v>
      </c>
      <c r="V103" s="142"/>
      <c r="W103" s="142"/>
      <c r="X103" s="142"/>
      <c r="Y103" s="142"/>
      <c r="Z103" s="173"/>
      <c r="AA103" s="75">
        <f t="shared" ca="1" si="5"/>
        <v>0</v>
      </c>
      <c r="AB103" s="142"/>
      <c r="AC103" s="142"/>
      <c r="AD103" s="142"/>
      <c r="AE103" s="142"/>
      <c r="AF103" s="75">
        <f ca="1">ЦветЯчейки</f>
        <v>0</v>
      </c>
      <c r="AG103" s="173"/>
      <c r="AH103" s="75"/>
    </row>
    <row r="104" spans="1:34" s="1" customFormat="1" ht="75" x14ac:dyDescent="0.25">
      <c r="A104" s="182">
        <v>101</v>
      </c>
      <c r="B104" s="139" t="s">
        <v>524</v>
      </c>
      <c r="C104" s="100" t="s">
        <v>987</v>
      </c>
      <c r="D104" s="221" t="s">
        <v>525</v>
      </c>
      <c r="E104" s="308">
        <v>44196</v>
      </c>
      <c r="F104" s="3" t="s">
        <v>33</v>
      </c>
      <c r="G104" s="3">
        <v>2617800152</v>
      </c>
      <c r="H104" s="5"/>
      <c r="I104" s="5"/>
      <c r="J104" s="183">
        <v>2</v>
      </c>
      <c r="K104" s="179">
        <v>676</v>
      </c>
      <c r="L104" s="143" t="s">
        <v>417</v>
      </c>
      <c r="M104" s="153">
        <v>225</v>
      </c>
      <c r="N104" s="172">
        <v>2400</v>
      </c>
      <c r="O104" s="284">
        <f ca="1">ЦветЯчейки</f>
        <v>43</v>
      </c>
      <c r="P104" s="271" t="s">
        <v>1046</v>
      </c>
      <c r="Q104" s="143" t="s">
        <v>417</v>
      </c>
      <c r="R104" s="245">
        <v>779</v>
      </c>
      <c r="S104" s="320"/>
      <c r="T104" s="175">
        <v>2400</v>
      </c>
      <c r="U104" s="223">
        <f ca="1">ЦветЯчейки</f>
        <v>3</v>
      </c>
      <c r="V104" s="142"/>
      <c r="W104" s="142"/>
      <c r="X104" s="142"/>
      <c r="Y104" s="142"/>
      <c r="Z104" s="173"/>
      <c r="AA104" s="75">
        <f t="shared" ca="1" si="5"/>
        <v>0</v>
      </c>
      <c r="AB104" s="142"/>
      <c r="AC104" s="75"/>
      <c r="AD104" s="75"/>
      <c r="AE104" s="75"/>
      <c r="AF104" s="75">
        <f ca="1">ЦветЯчейки</f>
        <v>0</v>
      </c>
      <c r="AG104" s="5"/>
      <c r="AH104" s="5"/>
    </row>
    <row r="105" spans="1:34" s="1" customFormat="1" ht="65.25" customHeight="1" x14ac:dyDescent="0.25">
      <c r="A105" s="182">
        <v>102</v>
      </c>
      <c r="B105" s="252" t="s">
        <v>647</v>
      </c>
      <c r="C105" s="253" t="s">
        <v>988</v>
      </c>
      <c r="D105" s="93" t="s">
        <v>684</v>
      </c>
      <c r="E105" s="296">
        <v>44196</v>
      </c>
      <c r="F105" s="255" t="s">
        <v>33</v>
      </c>
      <c r="G105" s="3">
        <v>2627026682</v>
      </c>
      <c r="H105" s="5"/>
      <c r="I105" s="5">
        <v>31</v>
      </c>
      <c r="J105" s="183">
        <v>47</v>
      </c>
      <c r="K105" s="179">
        <v>704</v>
      </c>
      <c r="L105" s="153" t="s">
        <v>690</v>
      </c>
      <c r="M105" s="206" t="s">
        <v>691</v>
      </c>
      <c r="N105" s="172">
        <v>25569</v>
      </c>
      <c r="O105" s="284">
        <f ca="1">ЦветЯчейки</f>
        <v>43</v>
      </c>
      <c r="P105" s="271" t="s">
        <v>740</v>
      </c>
      <c r="Q105" s="143" t="s">
        <v>551</v>
      </c>
      <c r="R105" s="245" t="s">
        <v>731</v>
      </c>
      <c r="S105" s="320"/>
      <c r="T105" s="175">
        <v>26569</v>
      </c>
      <c r="U105" s="223">
        <f ca="1">ЦветЯчейки</f>
        <v>3</v>
      </c>
      <c r="V105" s="271" t="s">
        <v>1097</v>
      </c>
      <c r="W105" s="143" t="s">
        <v>1098</v>
      </c>
      <c r="X105" s="245" t="s">
        <v>1099</v>
      </c>
      <c r="Y105" s="320"/>
      <c r="Z105" s="175">
        <v>26569</v>
      </c>
      <c r="AA105" s="75">
        <f t="shared" ca="1" si="5"/>
        <v>3</v>
      </c>
      <c r="AB105" s="142"/>
      <c r="AC105" s="143" t="s">
        <v>439</v>
      </c>
      <c r="AD105" s="75"/>
      <c r="AE105" s="75"/>
      <c r="AF105" s="75">
        <f ca="1">ЦветЯчейки</f>
        <v>0</v>
      </c>
      <c r="AG105" s="5"/>
      <c r="AH105" s="5"/>
    </row>
    <row r="106" spans="1:34" s="1" customFormat="1" ht="75" x14ac:dyDescent="0.25">
      <c r="A106" s="182">
        <v>103</v>
      </c>
      <c r="B106" s="252" t="s">
        <v>532</v>
      </c>
      <c r="C106" s="253" t="s">
        <v>989</v>
      </c>
      <c r="D106" s="221" t="s">
        <v>533</v>
      </c>
      <c r="E106" s="308">
        <v>44196</v>
      </c>
      <c r="F106" s="3" t="s">
        <v>33</v>
      </c>
      <c r="G106" s="3">
        <v>2618021494</v>
      </c>
      <c r="H106" s="5"/>
      <c r="I106" s="5">
        <v>1</v>
      </c>
      <c r="J106" s="183"/>
      <c r="K106" s="180"/>
      <c r="L106" s="143"/>
      <c r="M106" s="143"/>
      <c r="N106" s="175"/>
      <c r="O106" s="284">
        <f ca="1">ЦветЯчейки</f>
        <v>3</v>
      </c>
      <c r="P106" s="271" t="s">
        <v>813</v>
      </c>
      <c r="Q106" s="153" t="s">
        <v>417</v>
      </c>
      <c r="R106" s="245">
        <v>677</v>
      </c>
      <c r="S106" s="320"/>
      <c r="T106" s="175">
        <v>2400</v>
      </c>
      <c r="U106" s="223">
        <f ca="1">ЦветЯчейки</f>
        <v>3</v>
      </c>
      <c r="V106" s="142"/>
      <c r="W106" s="142"/>
      <c r="X106" s="142"/>
      <c r="Y106" s="142"/>
      <c r="Z106" s="173"/>
      <c r="AA106" s="75">
        <f t="shared" ca="1" si="5"/>
        <v>0</v>
      </c>
      <c r="AB106" s="142"/>
      <c r="AC106" s="75"/>
      <c r="AD106" s="75"/>
      <c r="AE106" s="75"/>
      <c r="AF106" s="75">
        <f ca="1">ЦветЯчейки</f>
        <v>0</v>
      </c>
      <c r="AG106" s="5"/>
      <c r="AH106" s="5"/>
    </row>
    <row r="107" spans="1:34" s="1" customFormat="1" ht="90" x14ac:dyDescent="0.25">
      <c r="A107" s="182">
        <v>104</v>
      </c>
      <c r="B107" s="139" t="s">
        <v>547</v>
      </c>
      <c r="C107" s="100" t="s">
        <v>990</v>
      </c>
      <c r="D107" s="138" t="s">
        <v>1178</v>
      </c>
      <c r="E107" s="295">
        <v>44196</v>
      </c>
      <c r="F107" s="3" t="s">
        <v>33</v>
      </c>
      <c r="G107" s="3">
        <v>2623011950</v>
      </c>
      <c r="H107" s="5"/>
      <c r="I107" s="5">
        <v>4</v>
      </c>
      <c r="J107" s="183">
        <v>12</v>
      </c>
      <c r="K107" s="179">
        <v>779</v>
      </c>
      <c r="L107" s="143" t="s">
        <v>417</v>
      </c>
      <c r="M107" s="206">
        <v>482</v>
      </c>
      <c r="N107" s="172">
        <v>9800</v>
      </c>
      <c r="O107" s="284">
        <f ca="1">ЦветЯчейки</f>
        <v>43</v>
      </c>
      <c r="P107" s="271" t="s">
        <v>789</v>
      </c>
      <c r="Q107" s="143" t="s">
        <v>417</v>
      </c>
      <c r="R107" s="245">
        <v>643</v>
      </c>
      <c r="S107" s="320"/>
      <c r="T107" s="175">
        <v>9800</v>
      </c>
      <c r="U107" s="223">
        <f ca="1">ЦветЯчейки</f>
        <v>3</v>
      </c>
      <c r="V107" s="271" t="s">
        <v>1187</v>
      </c>
      <c r="W107" s="143" t="s">
        <v>417</v>
      </c>
      <c r="X107" s="245">
        <v>1047</v>
      </c>
      <c r="Y107" s="320"/>
      <c r="Z107" s="175">
        <v>19200</v>
      </c>
      <c r="AA107" s="75">
        <f t="shared" ca="1" si="5"/>
        <v>3</v>
      </c>
      <c r="AB107" s="142"/>
      <c r="AC107" s="75"/>
      <c r="AD107" s="75"/>
      <c r="AE107" s="75"/>
      <c r="AF107" s="75">
        <f ca="1">ЦветЯчейки</f>
        <v>0</v>
      </c>
      <c r="AG107" s="5"/>
      <c r="AH107" s="5"/>
    </row>
    <row r="108" spans="1:34" s="1" customFormat="1" ht="90" x14ac:dyDescent="0.25">
      <c r="A108" s="182">
        <v>105</v>
      </c>
      <c r="B108" s="139" t="s">
        <v>239</v>
      </c>
      <c r="C108" s="100" t="s">
        <v>991</v>
      </c>
      <c r="D108" s="138" t="s">
        <v>861</v>
      </c>
      <c r="E108" s="311">
        <v>44211</v>
      </c>
      <c r="F108" s="3" t="s">
        <v>33</v>
      </c>
      <c r="G108" s="3">
        <v>2620001350</v>
      </c>
      <c r="H108" s="5"/>
      <c r="I108" s="5"/>
      <c r="J108" s="183">
        <v>4</v>
      </c>
      <c r="K108" s="273" t="s">
        <v>722</v>
      </c>
      <c r="L108" s="143" t="s">
        <v>417</v>
      </c>
      <c r="M108" s="153">
        <v>517</v>
      </c>
      <c r="N108" s="172">
        <v>4800</v>
      </c>
      <c r="O108" s="284">
        <f ca="1">ЦветЯчейки</f>
        <v>43</v>
      </c>
      <c r="P108" s="275" t="s">
        <v>790</v>
      </c>
      <c r="Q108" s="153" t="s">
        <v>417</v>
      </c>
      <c r="R108" s="206">
        <v>644</v>
      </c>
      <c r="S108" s="320"/>
      <c r="T108" s="172">
        <v>4800</v>
      </c>
      <c r="U108" s="223">
        <f ca="1">ЦветЯчейки</f>
        <v>43</v>
      </c>
      <c r="V108" s="271" t="s">
        <v>1146</v>
      </c>
      <c r="W108" s="143" t="s">
        <v>417</v>
      </c>
      <c r="X108" s="245">
        <v>990</v>
      </c>
      <c r="Y108" s="320"/>
      <c r="Z108" s="175">
        <v>4800</v>
      </c>
      <c r="AA108" s="75">
        <f t="shared" ca="1" si="5"/>
        <v>3</v>
      </c>
      <c r="AB108" s="142"/>
      <c r="AC108" s="75"/>
      <c r="AD108" s="75"/>
      <c r="AE108" s="75"/>
      <c r="AF108" s="75">
        <f ca="1">ЦветЯчейки</f>
        <v>0</v>
      </c>
      <c r="AG108" s="5"/>
      <c r="AH108" s="5"/>
    </row>
    <row r="109" spans="1:34" s="1" customFormat="1" ht="60" x14ac:dyDescent="0.25">
      <c r="A109" s="182">
        <v>106</v>
      </c>
      <c r="B109" s="139" t="s">
        <v>254</v>
      </c>
      <c r="C109" s="100" t="s">
        <v>992</v>
      </c>
      <c r="D109" s="93" t="s">
        <v>1115</v>
      </c>
      <c r="E109" s="296">
        <v>44196</v>
      </c>
      <c r="F109" s="3" t="s">
        <v>33</v>
      </c>
      <c r="G109" s="3">
        <v>2615001940</v>
      </c>
      <c r="H109" s="5"/>
      <c r="I109" s="5">
        <v>13</v>
      </c>
      <c r="J109" s="183"/>
      <c r="K109" s="179">
        <v>729</v>
      </c>
      <c r="L109" s="153" t="s">
        <v>455</v>
      </c>
      <c r="M109" s="153">
        <v>358</v>
      </c>
      <c r="N109" s="172">
        <v>9000</v>
      </c>
      <c r="O109" s="284">
        <f ca="1">ЦветЯчейки</f>
        <v>43</v>
      </c>
      <c r="P109" s="271" t="s">
        <v>781</v>
      </c>
      <c r="Q109" s="143" t="s">
        <v>417</v>
      </c>
      <c r="R109" s="245">
        <v>631</v>
      </c>
      <c r="S109" s="320"/>
      <c r="T109" s="175">
        <v>10800</v>
      </c>
      <c r="U109" s="223">
        <f ca="1">ЦветЯчейки</f>
        <v>3</v>
      </c>
      <c r="V109" s="271" t="s">
        <v>1114</v>
      </c>
      <c r="W109" s="143" t="s">
        <v>416</v>
      </c>
      <c r="X109" s="245">
        <v>948</v>
      </c>
      <c r="Y109" s="320"/>
      <c r="Z109" s="175">
        <v>10800</v>
      </c>
      <c r="AA109" s="75">
        <f t="shared" ca="1" si="5"/>
        <v>3</v>
      </c>
      <c r="AB109" s="142"/>
      <c r="AC109" s="75"/>
      <c r="AD109" s="75"/>
      <c r="AE109" s="75"/>
      <c r="AF109" s="75">
        <f ca="1">ЦветЯчейки</f>
        <v>0</v>
      </c>
      <c r="AG109" s="5"/>
      <c r="AH109" s="5"/>
    </row>
    <row r="110" spans="1:34" s="1" customFormat="1" ht="105" x14ac:dyDescent="0.25">
      <c r="A110" s="182">
        <v>107</v>
      </c>
      <c r="B110" s="139" t="s">
        <v>614</v>
      </c>
      <c r="C110" s="100" t="s">
        <v>993</v>
      </c>
      <c r="D110" s="221" t="s">
        <v>616</v>
      </c>
      <c r="E110" s="308">
        <v>44196</v>
      </c>
      <c r="F110" s="3" t="s">
        <v>33</v>
      </c>
      <c r="G110" s="3">
        <v>2635228241</v>
      </c>
      <c r="H110" s="5"/>
      <c r="I110" s="5"/>
      <c r="J110" s="183">
        <v>1</v>
      </c>
      <c r="K110" s="207">
        <v>783</v>
      </c>
      <c r="L110" s="208" t="s">
        <v>417</v>
      </c>
      <c r="M110" s="208">
        <v>494</v>
      </c>
      <c r="N110" s="209">
        <v>1200</v>
      </c>
      <c r="O110" s="284">
        <f ca="1">ЦветЯчейки</f>
        <v>43</v>
      </c>
      <c r="P110" s="275" t="s">
        <v>878</v>
      </c>
      <c r="Q110" s="153" t="s">
        <v>417</v>
      </c>
      <c r="R110" s="206">
        <v>736</v>
      </c>
      <c r="S110" s="320"/>
      <c r="T110" s="172">
        <v>1200</v>
      </c>
      <c r="U110" s="223">
        <f ca="1">ЦветЯчейки</f>
        <v>43</v>
      </c>
      <c r="V110" s="271" t="s">
        <v>1197</v>
      </c>
      <c r="W110" s="143" t="s">
        <v>417</v>
      </c>
      <c r="X110" s="245">
        <v>1091</v>
      </c>
      <c r="Y110" s="320"/>
      <c r="Z110" s="175">
        <v>1200</v>
      </c>
      <c r="AA110" s="75">
        <f t="shared" ca="1" si="5"/>
        <v>3</v>
      </c>
      <c r="AB110" s="142"/>
      <c r="AC110" s="142"/>
      <c r="AD110" s="75"/>
      <c r="AE110" s="75"/>
      <c r="AF110" s="75">
        <f ca="1">ЦветЯчейки</f>
        <v>0</v>
      </c>
      <c r="AG110" s="5"/>
      <c r="AH110" s="5"/>
    </row>
    <row r="111" spans="1:34" s="1" customFormat="1" ht="75" x14ac:dyDescent="0.25">
      <c r="A111" s="182">
        <v>108</v>
      </c>
      <c r="B111" s="139" t="s">
        <v>663</v>
      </c>
      <c r="C111" s="100" t="s">
        <v>994</v>
      </c>
      <c r="D111" s="101" t="s">
        <v>664</v>
      </c>
      <c r="E111" s="309">
        <v>44561</v>
      </c>
      <c r="F111" s="3" t="s">
        <v>33</v>
      </c>
      <c r="G111" s="3">
        <v>2617019853</v>
      </c>
      <c r="H111" s="5"/>
      <c r="I111" s="5"/>
      <c r="J111" s="183">
        <v>1</v>
      </c>
      <c r="K111" s="177"/>
      <c r="L111" s="142"/>
      <c r="M111" s="142"/>
      <c r="N111" s="173"/>
      <c r="O111" s="284">
        <f ca="1">ЦветЯчейки</f>
        <v>0</v>
      </c>
      <c r="P111" s="244"/>
      <c r="Q111" s="142"/>
      <c r="R111" s="142"/>
      <c r="S111" s="318"/>
      <c r="T111" s="173"/>
      <c r="U111" s="223">
        <f ca="1">ЦветЯчейки</f>
        <v>0</v>
      </c>
      <c r="V111" s="142"/>
      <c r="W111" s="142"/>
      <c r="X111" s="136"/>
      <c r="Y111" s="136"/>
      <c r="Z111" s="173"/>
      <c r="AA111" s="75">
        <f t="shared" ca="1" si="5"/>
        <v>0</v>
      </c>
      <c r="AB111" s="142"/>
      <c r="AC111" s="142"/>
      <c r="AD111" s="75"/>
      <c r="AE111" s="75"/>
      <c r="AF111" s="75">
        <f ca="1">ЦветЯчейки</f>
        <v>0</v>
      </c>
      <c r="AG111" s="5"/>
      <c r="AH111" s="5"/>
    </row>
    <row r="112" spans="1:34" s="1" customFormat="1" ht="75" x14ac:dyDescent="0.25">
      <c r="A112" s="182">
        <v>109</v>
      </c>
      <c r="B112" s="139" t="s">
        <v>853</v>
      </c>
      <c r="C112" s="100" t="s">
        <v>995</v>
      </c>
      <c r="D112" s="93" t="s">
        <v>854</v>
      </c>
      <c r="E112" s="309">
        <v>44216</v>
      </c>
      <c r="F112" s="3" t="s">
        <v>33</v>
      </c>
      <c r="G112" s="3">
        <v>2636032629</v>
      </c>
      <c r="H112" s="5"/>
      <c r="I112" s="5">
        <v>2</v>
      </c>
      <c r="J112" s="183"/>
      <c r="K112" s="177"/>
      <c r="L112" s="142"/>
      <c r="M112" s="142"/>
      <c r="N112" s="173"/>
      <c r="O112" s="284"/>
      <c r="P112" s="244"/>
      <c r="Q112" s="142"/>
      <c r="R112" s="142"/>
      <c r="S112" s="318"/>
      <c r="T112" s="173"/>
      <c r="U112" s="223"/>
      <c r="V112" s="271" t="s">
        <v>1191</v>
      </c>
      <c r="W112" s="143" t="s">
        <v>417</v>
      </c>
      <c r="X112" s="245">
        <v>1055</v>
      </c>
      <c r="Y112" s="320"/>
      <c r="Z112" s="175">
        <v>2400</v>
      </c>
      <c r="AA112" s="75"/>
      <c r="AB112" s="142"/>
      <c r="AC112" s="142"/>
      <c r="AD112" s="75"/>
      <c r="AE112" s="75"/>
      <c r="AF112" s="75"/>
      <c r="AG112" s="5"/>
      <c r="AH112" s="5"/>
    </row>
    <row r="113" spans="1:34" s="1" customFormat="1" ht="45" x14ac:dyDescent="0.25">
      <c r="A113" s="182">
        <v>110</v>
      </c>
      <c r="B113" s="139" t="s">
        <v>868</v>
      </c>
      <c r="C113" s="100" t="s">
        <v>996</v>
      </c>
      <c r="D113" s="221" t="s">
        <v>869</v>
      </c>
      <c r="E113" s="308">
        <v>44216</v>
      </c>
      <c r="F113" s="3" t="s">
        <v>33</v>
      </c>
      <c r="G113" s="3">
        <v>2607018852</v>
      </c>
      <c r="H113" s="5"/>
      <c r="I113" s="5"/>
      <c r="J113" s="183">
        <v>1</v>
      </c>
      <c r="K113" s="177"/>
      <c r="L113" s="142"/>
      <c r="M113" s="142"/>
      <c r="N113" s="173"/>
      <c r="O113" s="284"/>
      <c r="P113" s="244"/>
      <c r="Q113" s="142"/>
      <c r="R113" s="142"/>
      <c r="S113" s="318"/>
      <c r="T113" s="173"/>
      <c r="U113" s="223"/>
      <c r="V113" s="142"/>
      <c r="W113" s="153" t="s">
        <v>439</v>
      </c>
      <c r="X113" s="136"/>
      <c r="Y113" s="136"/>
      <c r="Z113" s="173"/>
      <c r="AA113" s="75"/>
      <c r="AB113" s="142"/>
      <c r="AC113" s="142"/>
      <c r="AD113" s="75"/>
      <c r="AE113" s="75"/>
      <c r="AF113" s="75"/>
      <c r="AG113" s="5"/>
      <c r="AH113" s="5"/>
    </row>
    <row r="114" spans="1:34" s="1" customFormat="1" ht="75" x14ac:dyDescent="0.25">
      <c r="A114" s="182">
        <v>111</v>
      </c>
      <c r="B114" s="315" t="s">
        <v>874</v>
      </c>
      <c r="C114" s="316" t="s">
        <v>997</v>
      </c>
      <c r="D114" s="221" t="s">
        <v>875</v>
      </c>
      <c r="E114" s="308">
        <v>44216</v>
      </c>
      <c r="F114" s="5" t="s">
        <v>33</v>
      </c>
      <c r="G114" s="3">
        <v>2372009511</v>
      </c>
      <c r="H114" s="5"/>
      <c r="I114" s="5"/>
      <c r="J114" s="183">
        <v>1</v>
      </c>
      <c r="K114" s="177"/>
      <c r="L114" s="153" t="s">
        <v>439</v>
      </c>
      <c r="M114" s="142"/>
      <c r="N114" s="173"/>
      <c r="O114" s="284"/>
      <c r="P114" s="271" t="s">
        <v>889</v>
      </c>
      <c r="Q114" s="143" t="s">
        <v>417</v>
      </c>
      <c r="R114" s="245">
        <v>752</v>
      </c>
      <c r="S114" s="320"/>
      <c r="T114" s="175">
        <v>2400</v>
      </c>
      <c r="U114" s="223"/>
      <c r="V114" s="142"/>
      <c r="W114" s="142"/>
      <c r="X114" s="136"/>
      <c r="Y114" s="136"/>
      <c r="Z114" s="173"/>
      <c r="AA114" s="75"/>
      <c r="AB114" s="142"/>
      <c r="AC114" s="142"/>
      <c r="AD114" s="75"/>
      <c r="AE114" s="75"/>
      <c r="AF114" s="75"/>
      <c r="AG114" s="5"/>
      <c r="AH114" s="5"/>
    </row>
    <row r="115" spans="1:34" s="1" customFormat="1" ht="90" x14ac:dyDescent="0.25">
      <c r="A115" s="182">
        <v>112</v>
      </c>
      <c r="B115" s="138" t="s">
        <v>199</v>
      </c>
      <c r="C115" s="150" t="s">
        <v>998</v>
      </c>
      <c r="D115" s="221" t="s">
        <v>203</v>
      </c>
      <c r="E115" s="308">
        <v>44196</v>
      </c>
      <c r="F115" s="5" t="s">
        <v>33</v>
      </c>
      <c r="G115" s="5">
        <v>2624800403</v>
      </c>
      <c r="H115" s="79"/>
      <c r="I115" s="78">
        <v>1</v>
      </c>
      <c r="J115" s="183"/>
      <c r="K115" s="207">
        <v>685</v>
      </c>
      <c r="L115" s="208" t="s">
        <v>417</v>
      </c>
      <c r="M115" s="208">
        <v>246</v>
      </c>
      <c r="N115" s="209">
        <v>1200</v>
      </c>
      <c r="O115" s="284">
        <f ca="1">ЦветЯчейки</f>
        <v>43</v>
      </c>
      <c r="P115" s="275" t="s">
        <v>821</v>
      </c>
      <c r="Q115" s="153" t="s">
        <v>417</v>
      </c>
      <c r="R115" s="206">
        <v>685</v>
      </c>
      <c r="S115" s="276"/>
      <c r="T115" s="172">
        <v>1200</v>
      </c>
      <c r="U115" s="223">
        <f ca="1">ЦветЯчейки</f>
        <v>43</v>
      </c>
      <c r="V115" s="275" t="s">
        <v>1094</v>
      </c>
      <c r="W115" s="153" t="s">
        <v>417</v>
      </c>
      <c r="X115" s="206">
        <v>881</v>
      </c>
      <c r="Y115" s="276"/>
      <c r="Z115" s="172">
        <v>1200</v>
      </c>
      <c r="AA115" s="75">
        <f t="shared" ca="1" si="5"/>
        <v>43</v>
      </c>
      <c r="AB115" s="142"/>
      <c r="AC115" s="75"/>
      <c r="AD115" s="75"/>
      <c r="AE115" s="75"/>
      <c r="AF115" s="75">
        <f ca="1">ЦветЯчейки</f>
        <v>0</v>
      </c>
      <c r="AG115" s="5"/>
      <c r="AH115" s="5"/>
    </row>
    <row r="116" spans="1:34" s="1" customFormat="1" ht="90" x14ac:dyDescent="0.25">
      <c r="A116" s="182">
        <v>113</v>
      </c>
      <c r="B116" s="138" t="s">
        <v>200</v>
      </c>
      <c r="C116" s="150" t="s">
        <v>999</v>
      </c>
      <c r="D116" s="221" t="s">
        <v>204</v>
      </c>
      <c r="E116" s="308">
        <v>44196</v>
      </c>
      <c r="F116" s="5" t="s">
        <v>33</v>
      </c>
      <c r="G116" s="5">
        <v>2624030095</v>
      </c>
      <c r="H116" s="79"/>
      <c r="I116" s="78">
        <v>1</v>
      </c>
      <c r="J116" s="183"/>
      <c r="K116" s="207">
        <v>686</v>
      </c>
      <c r="L116" s="208" t="s">
        <v>417</v>
      </c>
      <c r="M116" s="208">
        <v>247</v>
      </c>
      <c r="N116" s="209">
        <v>1200</v>
      </c>
      <c r="O116" s="284">
        <f ca="1">ЦветЯчейки</f>
        <v>43</v>
      </c>
      <c r="P116" s="275" t="s">
        <v>822</v>
      </c>
      <c r="Q116" s="153" t="s">
        <v>417</v>
      </c>
      <c r="R116" s="206">
        <v>686</v>
      </c>
      <c r="S116" s="276"/>
      <c r="T116" s="172">
        <v>1200</v>
      </c>
      <c r="U116" s="223">
        <f ca="1">ЦветЯчейки</f>
        <v>43</v>
      </c>
      <c r="V116" s="275" t="s">
        <v>1095</v>
      </c>
      <c r="W116" s="153" t="s">
        <v>417</v>
      </c>
      <c r="X116" s="206">
        <v>882</v>
      </c>
      <c r="Y116" s="276"/>
      <c r="Z116" s="172">
        <v>1200</v>
      </c>
      <c r="AA116" s="75">
        <f t="shared" ca="1" si="5"/>
        <v>43</v>
      </c>
      <c r="AB116" s="142"/>
      <c r="AC116" s="75"/>
      <c r="AD116" s="75"/>
      <c r="AE116" s="75"/>
      <c r="AF116" s="75">
        <f ca="1">ЦветЯчейки</f>
        <v>0</v>
      </c>
      <c r="AG116" s="5"/>
      <c r="AH116" s="5"/>
    </row>
    <row r="117" spans="1:34" s="1" customFormat="1" ht="75" x14ac:dyDescent="0.25">
      <c r="A117" s="182">
        <v>114</v>
      </c>
      <c r="B117" s="138" t="s">
        <v>467</v>
      </c>
      <c r="C117" s="150" t="s">
        <v>1000</v>
      </c>
      <c r="D117" s="221" t="s">
        <v>468</v>
      </c>
      <c r="E117" s="308">
        <v>44196</v>
      </c>
      <c r="F117" s="5" t="s">
        <v>33</v>
      </c>
      <c r="G117" s="5">
        <v>2624022344</v>
      </c>
      <c r="H117" s="79"/>
      <c r="I117" s="78">
        <v>1</v>
      </c>
      <c r="J117" s="183"/>
      <c r="K117" s="207">
        <v>773</v>
      </c>
      <c r="L117" s="208" t="s">
        <v>710</v>
      </c>
      <c r="M117" s="208">
        <v>454</v>
      </c>
      <c r="N117" s="209">
        <v>1200</v>
      </c>
      <c r="O117" s="284">
        <f ca="1">ЦветЯчейки</f>
        <v>43</v>
      </c>
      <c r="P117" s="275" t="s">
        <v>765</v>
      </c>
      <c r="Q117" s="153" t="s">
        <v>417</v>
      </c>
      <c r="R117" s="206">
        <v>607</v>
      </c>
      <c r="S117" s="320"/>
      <c r="T117" s="172">
        <v>1200</v>
      </c>
      <c r="U117" s="223">
        <f ca="1">ЦветЯчейки</f>
        <v>43</v>
      </c>
      <c r="V117" s="276" t="s">
        <v>1074</v>
      </c>
      <c r="W117" s="153" t="s">
        <v>417</v>
      </c>
      <c r="X117" s="153">
        <v>858</v>
      </c>
      <c r="Y117" s="270"/>
      <c r="Z117" s="172">
        <v>1200</v>
      </c>
      <c r="AA117" s="75">
        <f t="shared" ca="1" si="5"/>
        <v>43</v>
      </c>
      <c r="AB117" s="142"/>
      <c r="AC117" s="75"/>
      <c r="AD117" s="75"/>
      <c r="AE117" s="75"/>
      <c r="AF117" s="75">
        <f ca="1">ЦветЯчейки</f>
        <v>0</v>
      </c>
      <c r="AG117" s="5"/>
      <c r="AH117" s="5"/>
    </row>
    <row r="118" spans="1:34" s="1" customFormat="1" ht="60" x14ac:dyDescent="0.25">
      <c r="A118" s="182">
        <v>115</v>
      </c>
      <c r="B118" s="108" t="s">
        <v>218</v>
      </c>
      <c r="C118" s="108" t="s">
        <v>1001</v>
      </c>
      <c r="D118" s="256" t="s">
        <v>676</v>
      </c>
      <c r="E118" s="300"/>
      <c r="F118" s="5"/>
      <c r="G118" s="3">
        <v>2624028635</v>
      </c>
      <c r="H118" s="79"/>
      <c r="I118" s="78"/>
      <c r="J118" s="183">
        <v>36</v>
      </c>
      <c r="K118" s="179">
        <v>732</v>
      </c>
      <c r="L118" s="153" t="s">
        <v>417</v>
      </c>
      <c r="M118" s="153">
        <v>364</v>
      </c>
      <c r="N118" s="172">
        <v>33250</v>
      </c>
      <c r="O118" s="284">
        <f ca="1">ЦветЯчейки</f>
        <v>43</v>
      </c>
      <c r="P118" s="276" t="s">
        <v>737</v>
      </c>
      <c r="Q118" s="153" t="s">
        <v>551</v>
      </c>
      <c r="R118" s="153">
        <v>559</v>
      </c>
      <c r="S118" s="270"/>
      <c r="T118" s="172">
        <v>29450</v>
      </c>
      <c r="U118" s="223">
        <f ca="1">ЦветЯчейки</f>
        <v>43</v>
      </c>
      <c r="V118" s="142"/>
      <c r="W118" s="142"/>
      <c r="X118" s="142"/>
      <c r="Y118" s="142"/>
      <c r="Z118" s="173"/>
      <c r="AA118" s="75">
        <f t="shared" ca="1" si="5"/>
        <v>0</v>
      </c>
      <c r="AB118" s="142"/>
      <c r="AC118" s="142"/>
      <c r="AD118" s="173"/>
      <c r="AE118" s="75"/>
      <c r="AF118" s="75">
        <f ca="1">ЦветЯчейки</f>
        <v>0</v>
      </c>
      <c r="AG118" s="5"/>
      <c r="AH118" s="5"/>
    </row>
    <row r="119" spans="1:34" s="1" customFormat="1" ht="135" x14ac:dyDescent="0.25">
      <c r="A119" s="182">
        <v>116</v>
      </c>
      <c r="B119" s="162" t="s">
        <v>271</v>
      </c>
      <c r="C119" s="150" t="s">
        <v>1002</v>
      </c>
      <c r="D119" s="256" t="s">
        <v>1194</v>
      </c>
      <c r="E119" s="300"/>
      <c r="F119" s="5"/>
      <c r="G119" s="5">
        <v>2612017565</v>
      </c>
      <c r="H119" s="5"/>
      <c r="I119" s="75">
        <v>9</v>
      </c>
      <c r="J119" s="183"/>
      <c r="K119" s="179">
        <v>707</v>
      </c>
      <c r="L119" s="153" t="s">
        <v>417</v>
      </c>
      <c r="M119" s="153">
        <v>302</v>
      </c>
      <c r="N119" s="172">
        <v>9000</v>
      </c>
      <c r="O119" s="284">
        <f ca="1">ЦветЯчейки</f>
        <v>43</v>
      </c>
      <c r="P119" s="272" t="s">
        <v>752</v>
      </c>
      <c r="Q119" s="153" t="s">
        <v>753</v>
      </c>
      <c r="R119" s="143">
        <v>594</v>
      </c>
      <c r="S119" s="318"/>
      <c r="T119" s="175">
        <v>9000</v>
      </c>
      <c r="U119" s="223">
        <f ca="1">ЦветЯчейки</f>
        <v>3</v>
      </c>
      <c r="V119" s="275" t="s">
        <v>1136</v>
      </c>
      <c r="W119" s="153" t="s">
        <v>753</v>
      </c>
      <c r="X119" s="206">
        <v>973</v>
      </c>
      <c r="Y119" s="276"/>
      <c r="Z119" s="172">
        <v>9000</v>
      </c>
      <c r="AA119" s="75">
        <f t="shared" ca="1" si="5"/>
        <v>43</v>
      </c>
      <c r="AB119" s="142"/>
      <c r="AC119" s="75"/>
      <c r="AD119" s="75"/>
      <c r="AE119" s="75"/>
      <c r="AF119" s="75">
        <f ca="1">ЦветЯчейки</f>
        <v>0</v>
      </c>
      <c r="AG119" s="5"/>
      <c r="AH119" s="5"/>
    </row>
    <row r="120" spans="1:34" s="1" customFormat="1" ht="11.25" hidden="1" customHeight="1" x14ac:dyDescent="0.25">
      <c r="A120" s="182">
        <v>117</v>
      </c>
      <c r="B120" s="262" t="s">
        <v>328</v>
      </c>
      <c r="C120" s="25" t="s">
        <v>1003</v>
      </c>
      <c r="D120" s="225" t="s">
        <v>330</v>
      </c>
      <c r="E120" s="293"/>
      <c r="F120" s="26"/>
      <c r="G120" s="264">
        <v>911102219002</v>
      </c>
      <c r="H120" s="230"/>
      <c r="I120" s="230"/>
      <c r="J120" s="257"/>
      <c r="K120" s="179">
        <v>720</v>
      </c>
      <c r="L120" s="153" t="s">
        <v>476</v>
      </c>
      <c r="M120" s="153">
        <v>318</v>
      </c>
      <c r="N120" s="172">
        <v>1200</v>
      </c>
      <c r="O120" s="284">
        <f ca="1">ЦветЯчейки</f>
        <v>43</v>
      </c>
      <c r="P120" s="142"/>
      <c r="Q120" s="142"/>
      <c r="R120" s="142"/>
      <c r="S120" s="318"/>
      <c r="T120" s="173"/>
      <c r="U120" s="223">
        <f ca="1">ЦветЯчейки</f>
        <v>0</v>
      </c>
      <c r="V120" s="142"/>
      <c r="W120" s="142"/>
      <c r="X120" s="142"/>
      <c r="Y120" s="142"/>
      <c r="Z120" s="173"/>
      <c r="AA120" s="75">
        <f t="shared" ca="1" si="5"/>
        <v>0</v>
      </c>
      <c r="AB120" s="142"/>
      <c r="AC120" s="75"/>
      <c r="AD120" s="75"/>
      <c r="AE120" s="75"/>
      <c r="AF120" s="75">
        <f ca="1">ЦветЯчейки</f>
        <v>0</v>
      </c>
      <c r="AG120" s="5"/>
      <c r="AH120" s="5"/>
    </row>
    <row r="121" spans="1:34" s="1" customFormat="1" ht="30" hidden="1" x14ac:dyDescent="0.25">
      <c r="A121" s="182">
        <v>118</v>
      </c>
      <c r="B121" s="262" t="s">
        <v>322</v>
      </c>
      <c r="C121" s="25" t="s">
        <v>1004</v>
      </c>
      <c r="D121" s="225" t="s">
        <v>324</v>
      </c>
      <c r="E121" s="293"/>
      <c r="F121" s="26"/>
      <c r="G121" s="264">
        <v>910200227313</v>
      </c>
      <c r="H121" s="230"/>
      <c r="I121" s="230"/>
      <c r="J121" s="257"/>
      <c r="K121" s="179">
        <v>717</v>
      </c>
      <c r="L121" s="153" t="s">
        <v>476</v>
      </c>
      <c r="M121" s="153">
        <v>315</v>
      </c>
      <c r="N121" s="172">
        <v>1200</v>
      </c>
      <c r="O121" s="284">
        <f ca="1">ЦветЯчейки</f>
        <v>43</v>
      </c>
      <c r="P121" s="142"/>
      <c r="Q121" s="142"/>
      <c r="R121" s="142"/>
      <c r="S121" s="318"/>
      <c r="T121" s="173"/>
      <c r="U121" s="223">
        <f ca="1">ЦветЯчейки</f>
        <v>0</v>
      </c>
      <c r="V121" s="142"/>
      <c r="W121" s="142"/>
      <c r="X121" s="142"/>
      <c r="Y121" s="142"/>
      <c r="Z121" s="173"/>
      <c r="AA121" s="75">
        <f t="shared" ca="1" si="5"/>
        <v>0</v>
      </c>
      <c r="AB121" s="142"/>
      <c r="AC121" s="75"/>
      <c r="AD121" s="75"/>
      <c r="AE121" s="75"/>
      <c r="AF121" s="75">
        <f ca="1">ЦветЯчейки</f>
        <v>0</v>
      </c>
      <c r="AG121" s="5"/>
      <c r="AH121" s="5"/>
    </row>
    <row r="122" spans="1:34" s="1" customFormat="1" ht="8.25" hidden="1" customHeight="1" x14ac:dyDescent="0.25">
      <c r="A122" s="182">
        <v>119</v>
      </c>
      <c r="B122" s="262" t="s">
        <v>334</v>
      </c>
      <c r="C122" s="25" t="s">
        <v>1005</v>
      </c>
      <c r="D122" s="225" t="s">
        <v>336</v>
      </c>
      <c r="E122" s="293"/>
      <c r="F122" s="26"/>
      <c r="G122" s="264">
        <v>910206019302</v>
      </c>
      <c r="H122" s="230"/>
      <c r="I122" s="230"/>
      <c r="J122" s="257"/>
      <c r="K122" s="177"/>
      <c r="L122" s="142"/>
      <c r="M122" s="142"/>
      <c r="N122" s="173"/>
      <c r="O122" s="284">
        <f ca="1">ЦветЯчейки</f>
        <v>0</v>
      </c>
      <c r="P122" s="142"/>
      <c r="Q122" s="142"/>
      <c r="R122" s="142"/>
      <c r="S122" s="318"/>
      <c r="T122" s="142"/>
      <c r="U122" s="223">
        <f ca="1">ЦветЯчейки</f>
        <v>0</v>
      </c>
      <c r="V122" s="142"/>
      <c r="W122" s="142"/>
      <c r="X122" s="142"/>
      <c r="Y122" s="142"/>
      <c r="Z122" s="142"/>
      <c r="AA122" s="75">
        <f t="shared" ca="1" si="5"/>
        <v>0</v>
      </c>
      <c r="AB122" s="142"/>
      <c r="AC122" s="75"/>
      <c r="AD122" s="75"/>
      <c r="AE122" s="75"/>
      <c r="AF122" s="75">
        <f ca="1">ЦветЯчейки</f>
        <v>0</v>
      </c>
      <c r="AG122" s="5"/>
      <c r="AH122" s="5"/>
    </row>
    <row r="123" spans="1:34" s="1" customFormat="1" ht="6.75" hidden="1" customHeight="1" x14ac:dyDescent="0.25">
      <c r="A123" s="182">
        <v>120</v>
      </c>
      <c r="B123" s="262" t="s">
        <v>325</v>
      </c>
      <c r="C123" s="25" t="s">
        <v>1006</v>
      </c>
      <c r="D123" s="225" t="s">
        <v>327</v>
      </c>
      <c r="E123" s="293"/>
      <c r="F123" s="26"/>
      <c r="G123" s="264">
        <v>910200227634</v>
      </c>
      <c r="H123" s="230"/>
      <c r="I123" s="230"/>
      <c r="J123" s="257"/>
      <c r="K123" s="179">
        <v>718</v>
      </c>
      <c r="L123" s="153" t="s">
        <v>476</v>
      </c>
      <c r="M123" s="153">
        <v>317</v>
      </c>
      <c r="N123" s="172">
        <v>1200</v>
      </c>
      <c r="O123" s="284">
        <f ca="1">ЦветЯчейки</f>
        <v>43</v>
      </c>
      <c r="P123" s="142"/>
      <c r="Q123" s="142"/>
      <c r="R123" s="142"/>
      <c r="S123" s="318"/>
      <c r="T123" s="173"/>
      <c r="U123" s="223">
        <f ca="1">ЦветЯчейки</f>
        <v>0</v>
      </c>
      <c r="V123" s="142"/>
      <c r="W123" s="142"/>
      <c r="X123" s="142"/>
      <c r="Y123" s="142"/>
      <c r="Z123" s="173"/>
      <c r="AA123" s="75">
        <f t="shared" ca="1" si="5"/>
        <v>0</v>
      </c>
      <c r="AB123" s="142"/>
      <c r="AC123" s="75"/>
      <c r="AD123" s="75"/>
      <c r="AE123" s="75"/>
      <c r="AF123" s="75">
        <f ca="1">ЦветЯчейки</f>
        <v>0</v>
      </c>
      <c r="AG123" s="5"/>
      <c r="AH123" s="5"/>
    </row>
    <row r="124" spans="1:34" s="1" customFormat="1" ht="30" hidden="1" x14ac:dyDescent="0.25">
      <c r="A124" s="182">
        <v>121</v>
      </c>
      <c r="B124" s="164" t="s">
        <v>473</v>
      </c>
      <c r="C124" s="152" t="s">
        <v>1007</v>
      </c>
      <c r="D124" s="221" t="s">
        <v>475</v>
      </c>
      <c r="E124" s="308">
        <v>44196</v>
      </c>
      <c r="F124" s="5" t="s">
        <v>33</v>
      </c>
      <c r="G124" s="78">
        <v>910402859611</v>
      </c>
      <c r="H124" s="5"/>
      <c r="I124" s="5"/>
      <c r="J124" s="183"/>
      <c r="K124" s="177"/>
      <c r="L124" s="142"/>
      <c r="M124" s="142"/>
      <c r="N124" s="173"/>
      <c r="O124" s="284">
        <f ca="1">ЦветЯчейки</f>
        <v>0</v>
      </c>
      <c r="P124" s="142"/>
      <c r="Q124" s="142"/>
      <c r="R124" s="142"/>
      <c r="S124" s="318"/>
      <c r="T124" s="173"/>
      <c r="U124" s="223">
        <f ca="1">ЦветЯчейки</f>
        <v>0</v>
      </c>
      <c r="V124" s="142"/>
      <c r="W124" s="142"/>
      <c r="X124" s="142"/>
      <c r="Y124" s="142"/>
      <c r="Z124" s="173"/>
      <c r="AA124" s="75">
        <f t="shared" ca="1" si="5"/>
        <v>0</v>
      </c>
      <c r="AB124" s="142"/>
      <c r="AC124" s="75"/>
      <c r="AD124" s="75"/>
      <c r="AE124" s="75"/>
      <c r="AF124" s="75">
        <f ca="1">ЦветЯчейки</f>
        <v>0</v>
      </c>
      <c r="AG124" s="5"/>
      <c r="AH124" s="5"/>
    </row>
    <row r="125" spans="1:34" s="1" customFormat="1" ht="45" x14ac:dyDescent="0.25">
      <c r="A125" s="182">
        <v>122</v>
      </c>
      <c r="B125" s="163" t="s">
        <v>42</v>
      </c>
      <c r="C125" s="152" t="s">
        <v>1008</v>
      </c>
      <c r="D125" s="221" t="s">
        <v>778</v>
      </c>
      <c r="E125" s="308">
        <v>44561</v>
      </c>
      <c r="F125" s="5" t="s">
        <v>33</v>
      </c>
      <c r="G125" s="5">
        <v>9107041038</v>
      </c>
      <c r="H125" s="5"/>
      <c r="I125" s="78">
        <v>3</v>
      </c>
      <c r="J125" s="183"/>
      <c r="K125" s="180"/>
      <c r="L125" s="143"/>
      <c r="M125" s="143"/>
      <c r="N125" s="175"/>
      <c r="O125" s="284">
        <f ca="1">ЦветЯчейки</f>
        <v>3</v>
      </c>
      <c r="P125" s="276" t="s">
        <v>810</v>
      </c>
      <c r="Q125" s="153" t="s">
        <v>476</v>
      </c>
      <c r="R125" s="153">
        <v>670</v>
      </c>
      <c r="S125" s="270"/>
      <c r="T125" s="172">
        <v>4200</v>
      </c>
      <c r="U125" s="223">
        <f ca="1">ЦветЯчейки</f>
        <v>43</v>
      </c>
      <c r="V125" s="276" t="s">
        <v>1154</v>
      </c>
      <c r="W125" s="153" t="s">
        <v>476</v>
      </c>
      <c r="X125" s="153">
        <v>943</v>
      </c>
      <c r="Y125" s="270"/>
      <c r="Z125" s="172">
        <v>2100</v>
      </c>
      <c r="AA125" s="75">
        <f t="shared" ca="1" si="5"/>
        <v>43</v>
      </c>
      <c r="AB125" s="142"/>
      <c r="AC125" s="153" t="s">
        <v>439</v>
      </c>
      <c r="AD125" s="75"/>
      <c r="AE125" s="75"/>
      <c r="AF125" s="75">
        <f ca="1">ЦветЯчейки</f>
        <v>0</v>
      </c>
      <c r="AG125" s="75"/>
      <c r="AH125" s="5"/>
    </row>
    <row r="126" spans="1:34" s="1" customFormat="1" ht="60" x14ac:dyDescent="0.25">
      <c r="A126" s="182">
        <v>123</v>
      </c>
      <c r="B126" s="163" t="s">
        <v>80</v>
      </c>
      <c r="C126" s="152" t="s">
        <v>1009</v>
      </c>
      <c r="D126" s="221" t="s">
        <v>81</v>
      </c>
      <c r="E126" s="308">
        <v>44196</v>
      </c>
      <c r="F126" s="5" t="s">
        <v>33</v>
      </c>
      <c r="G126" s="55">
        <v>9204564019</v>
      </c>
      <c r="H126" s="55"/>
      <c r="I126" s="80">
        <v>2</v>
      </c>
      <c r="J126" s="183"/>
      <c r="K126" s="179" t="s">
        <v>733</v>
      </c>
      <c r="L126" s="153"/>
      <c r="M126" s="153"/>
      <c r="N126" s="172"/>
      <c r="O126" s="284">
        <f ca="1">ЦветЯчейки</f>
        <v>43</v>
      </c>
      <c r="P126" s="270" t="s">
        <v>734</v>
      </c>
      <c r="Q126" s="153"/>
      <c r="R126" s="153">
        <v>555</v>
      </c>
      <c r="S126" s="318"/>
      <c r="T126" s="172">
        <v>2400</v>
      </c>
      <c r="U126" s="223">
        <f ca="1">ЦветЯчейки</f>
        <v>43</v>
      </c>
      <c r="V126" s="276" t="s">
        <v>1073</v>
      </c>
      <c r="W126" s="153" t="s">
        <v>435</v>
      </c>
      <c r="X126" s="153">
        <v>850</v>
      </c>
      <c r="Y126" s="270"/>
      <c r="Z126" s="172">
        <v>1200</v>
      </c>
      <c r="AA126" s="75">
        <f t="shared" ca="1" si="5"/>
        <v>43</v>
      </c>
      <c r="AB126" s="142"/>
      <c r="AC126" s="75"/>
      <c r="AD126" s="75"/>
      <c r="AE126" s="75"/>
      <c r="AF126" s="75">
        <f ca="1">ЦветЯчейки</f>
        <v>0</v>
      </c>
      <c r="AG126" s="5"/>
      <c r="AH126" s="5"/>
    </row>
    <row r="127" spans="1:34" s="1" customFormat="1" ht="60" x14ac:dyDescent="0.25">
      <c r="A127" s="182">
        <v>124</v>
      </c>
      <c r="B127" s="163" t="s">
        <v>131</v>
      </c>
      <c r="C127" s="152" t="s">
        <v>1010</v>
      </c>
      <c r="D127" s="221" t="s">
        <v>133</v>
      </c>
      <c r="E127" s="308">
        <v>44196</v>
      </c>
      <c r="F127" s="75" t="s">
        <v>33</v>
      </c>
      <c r="G127" s="5">
        <v>9111016299</v>
      </c>
      <c r="H127" s="5"/>
      <c r="I127" s="5">
        <v>8</v>
      </c>
      <c r="J127" s="183"/>
      <c r="K127" s="273" t="s">
        <v>721</v>
      </c>
      <c r="L127" s="153" t="s">
        <v>476</v>
      </c>
      <c r="M127" s="153">
        <v>515</v>
      </c>
      <c r="N127" s="172">
        <v>7200</v>
      </c>
      <c r="O127" s="284">
        <f ca="1">ЦветЯчейки</f>
        <v>43</v>
      </c>
      <c r="P127" s="276" t="s">
        <v>809</v>
      </c>
      <c r="Q127" s="153" t="s">
        <v>435</v>
      </c>
      <c r="R127" s="153">
        <v>668</v>
      </c>
      <c r="S127" s="270"/>
      <c r="T127" s="172">
        <v>7200</v>
      </c>
      <c r="U127" s="223">
        <f ca="1">ЦветЯчейки</f>
        <v>43</v>
      </c>
      <c r="V127" s="276" t="s">
        <v>1119</v>
      </c>
      <c r="W127" s="153" t="s">
        <v>476</v>
      </c>
      <c r="X127" s="153">
        <v>954</v>
      </c>
      <c r="Y127" s="270"/>
      <c r="Z127" s="172">
        <v>6000</v>
      </c>
      <c r="AA127" s="75">
        <f t="shared" ca="1" si="5"/>
        <v>43</v>
      </c>
      <c r="AB127" s="142"/>
      <c r="AC127" s="153" t="s">
        <v>439</v>
      </c>
      <c r="AD127" s="75"/>
      <c r="AE127" s="75"/>
      <c r="AF127" s="75">
        <f ca="1">ЦветЯчейки</f>
        <v>0</v>
      </c>
      <c r="AG127" s="5"/>
      <c r="AH127" s="5"/>
    </row>
    <row r="128" spans="1:34" s="1" customFormat="1" ht="45" x14ac:dyDescent="0.25">
      <c r="A128" s="182">
        <v>125</v>
      </c>
      <c r="B128" s="163" t="s">
        <v>62</v>
      </c>
      <c r="C128" s="152" t="s">
        <v>1011</v>
      </c>
      <c r="D128" s="221" t="s">
        <v>772</v>
      </c>
      <c r="E128" s="308">
        <v>44561</v>
      </c>
      <c r="F128" s="5" t="s">
        <v>33</v>
      </c>
      <c r="G128" s="5">
        <v>9111023105</v>
      </c>
      <c r="H128" s="5"/>
      <c r="I128" s="78"/>
      <c r="J128" s="183">
        <v>2</v>
      </c>
      <c r="K128" s="179"/>
      <c r="L128" s="153"/>
      <c r="M128" s="153"/>
      <c r="N128" s="172"/>
      <c r="O128" s="324">
        <f ca="1">ЦветЯчейки</f>
        <v>43</v>
      </c>
      <c r="P128" s="276" t="s">
        <v>807</v>
      </c>
      <c r="Q128" s="143" t="s">
        <v>476</v>
      </c>
      <c r="R128" s="153">
        <v>666</v>
      </c>
      <c r="S128" s="270"/>
      <c r="T128" s="172">
        <v>4800</v>
      </c>
      <c r="U128" s="223">
        <f ca="1">ЦветЯчейки</f>
        <v>43</v>
      </c>
      <c r="V128" s="276" t="s">
        <v>1117</v>
      </c>
      <c r="W128" s="153" t="s">
        <v>469</v>
      </c>
      <c r="X128" s="153">
        <v>951</v>
      </c>
      <c r="Y128" s="270"/>
      <c r="Z128" s="172">
        <v>2400</v>
      </c>
      <c r="AA128" s="75">
        <f t="shared" ca="1" si="5"/>
        <v>43</v>
      </c>
      <c r="AB128" s="173"/>
      <c r="AC128" s="75"/>
      <c r="AD128" s="75"/>
      <c r="AE128" s="75"/>
      <c r="AF128" s="75">
        <f ca="1">ЦветЯчейки</f>
        <v>0</v>
      </c>
      <c r="AG128" s="5"/>
      <c r="AH128" s="5"/>
    </row>
    <row r="129" spans="1:34" s="1" customFormat="1" ht="11.25" hidden="1" customHeight="1" x14ac:dyDescent="0.25">
      <c r="A129" s="182">
        <v>126</v>
      </c>
      <c r="B129" s="262" t="s">
        <v>331</v>
      </c>
      <c r="C129" s="25" t="s">
        <v>1012</v>
      </c>
      <c r="D129" s="225" t="s">
        <v>333</v>
      </c>
      <c r="E129" s="293"/>
      <c r="F129" s="26" t="s">
        <v>33</v>
      </c>
      <c r="G129" s="264">
        <v>9102040305</v>
      </c>
      <c r="H129" s="230"/>
      <c r="I129" s="230"/>
      <c r="J129" s="257"/>
      <c r="K129" s="179">
        <v>715</v>
      </c>
      <c r="L129" s="153" t="s">
        <v>476</v>
      </c>
      <c r="M129" s="153">
        <v>311</v>
      </c>
      <c r="N129" s="172">
        <v>3600</v>
      </c>
      <c r="O129" s="284">
        <f ca="1">ЦветЯчейки</f>
        <v>43</v>
      </c>
      <c r="P129" s="142"/>
      <c r="Q129" s="142"/>
      <c r="R129" s="142"/>
      <c r="S129" s="318"/>
      <c r="T129" s="173"/>
      <c r="U129" s="223">
        <f ca="1">ЦветЯчейки</f>
        <v>0</v>
      </c>
      <c r="V129" s="142"/>
      <c r="W129" s="142"/>
      <c r="X129" s="142"/>
      <c r="Y129" s="142"/>
      <c r="Z129" s="173"/>
      <c r="AA129" s="75">
        <f t="shared" ca="1" si="5"/>
        <v>0</v>
      </c>
      <c r="AB129" s="142"/>
      <c r="AC129" s="75"/>
      <c r="AD129" s="75"/>
      <c r="AE129" s="75"/>
      <c r="AF129" s="75">
        <f ca="1">ЦветЯчейки</f>
        <v>0</v>
      </c>
      <c r="AG129" s="5"/>
      <c r="AH129" s="5"/>
    </row>
    <row r="130" spans="1:34" s="1" customFormat="1" ht="30" x14ac:dyDescent="0.25">
      <c r="A130" s="182">
        <v>127</v>
      </c>
      <c r="B130" s="164" t="s">
        <v>109</v>
      </c>
      <c r="C130" s="152" t="s">
        <v>1013</v>
      </c>
      <c r="D130" s="221" t="s">
        <v>484</v>
      </c>
      <c r="E130" s="308">
        <v>44196</v>
      </c>
      <c r="F130" s="5" t="s">
        <v>33</v>
      </c>
      <c r="G130" s="78">
        <v>9204566016</v>
      </c>
      <c r="H130" s="194"/>
      <c r="I130" s="194">
        <v>1</v>
      </c>
      <c r="J130" s="195"/>
      <c r="K130" s="179"/>
      <c r="L130" s="153"/>
      <c r="M130" s="153"/>
      <c r="N130" s="172"/>
      <c r="O130" s="284">
        <f ca="1">ЦветЯчейки</f>
        <v>43</v>
      </c>
      <c r="P130" s="270" t="s">
        <v>741</v>
      </c>
      <c r="Q130" s="153" t="s">
        <v>742</v>
      </c>
      <c r="R130" s="153">
        <v>580</v>
      </c>
      <c r="S130" s="318"/>
      <c r="T130" s="172">
        <v>2400</v>
      </c>
      <c r="U130" s="223">
        <f ca="1">ЦветЯчейки</f>
        <v>43</v>
      </c>
      <c r="V130" s="272" t="s">
        <v>1173</v>
      </c>
      <c r="W130" s="143" t="s">
        <v>416</v>
      </c>
      <c r="X130" s="143">
        <v>1030</v>
      </c>
      <c r="Y130" s="318"/>
      <c r="Z130" s="175">
        <v>1200</v>
      </c>
      <c r="AA130" s="75">
        <f t="shared" ca="1" si="5"/>
        <v>3</v>
      </c>
      <c r="AB130" s="142"/>
      <c r="AC130" s="75"/>
      <c r="AD130" s="75"/>
      <c r="AE130" s="75"/>
      <c r="AF130" s="75">
        <f ca="1">ЦветЯчейки</f>
        <v>0</v>
      </c>
      <c r="AG130" s="5"/>
      <c r="AH130" s="5"/>
    </row>
    <row r="131" spans="1:34" s="1" customFormat="1" ht="16.5" hidden="1" customHeight="1" x14ac:dyDescent="0.25">
      <c r="A131" s="182">
        <v>128</v>
      </c>
      <c r="B131" s="26" t="s">
        <v>48</v>
      </c>
      <c r="C131" s="25" t="s">
        <v>1014</v>
      </c>
      <c r="D131" s="25"/>
      <c r="E131" s="323"/>
      <c r="F131" s="26"/>
      <c r="G131" s="26">
        <v>9103001267</v>
      </c>
      <c r="H131" s="194"/>
      <c r="I131" s="194"/>
      <c r="J131" s="195"/>
      <c r="K131" s="177"/>
      <c r="L131" s="142"/>
      <c r="M131" s="142"/>
      <c r="N131" s="173"/>
      <c r="O131" s="284">
        <f ca="1">ЦветЯчейки</f>
        <v>0</v>
      </c>
      <c r="P131" s="142"/>
      <c r="Q131" s="142"/>
      <c r="R131" s="142"/>
      <c r="S131" s="318"/>
      <c r="T131" s="173"/>
      <c r="U131" s="223">
        <f ca="1">ЦветЯчейки</f>
        <v>0</v>
      </c>
      <c r="V131" s="142"/>
      <c r="W131" s="142"/>
      <c r="X131" s="142"/>
      <c r="Y131" s="142"/>
      <c r="Z131" s="173"/>
      <c r="AA131" s="75">
        <f t="shared" ca="1" si="5"/>
        <v>0</v>
      </c>
      <c r="AB131" s="142"/>
      <c r="AC131" s="142"/>
      <c r="AD131" s="75"/>
      <c r="AE131" s="75"/>
      <c r="AF131" s="75">
        <f ca="1">ЦветЯчейки</f>
        <v>0</v>
      </c>
      <c r="AG131" s="5"/>
      <c r="AH131" s="5"/>
    </row>
    <row r="132" spans="1:34" s="1" customFormat="1" ht="30" x14ac:dyDescent="0.25">
      <c r="A132" s="182">
        <v>129</v>
      </c>
      <c r="B132" s="217" t="s">
        <v>501</v>
      </c>
      <c r="C132" s="218" t="s">
        <v>1015</v>
      </c>
      <c r="D132" s="101" t="s">
        <v>503</v>
      </c>
      <c r="E132" s="309">
        <v>44196</v>
      </c>
      <c r="F132" s="5" t="s">
        <v>33</v>
      </c>
      <c r="G132" s="194">
        <v>9111024363</v>
      </c>
      <c r="H132" s="194"/>
      <c r="I132" s="194">
        <v>1</v>
      </c>
      <c r="J132" s="195"/>
      <c r="K132" s="177"/>
      <c r="L132" s="142"/>
      <c r="M132" s="142"/>
      <c r="N132" s="173"/>
      <c r="O132" s="284">
        <f ca="1">ЦветЯчейки</f>
        <v>0</v>
      </c>
      <c r="P132" s="142"/>
      <c r="Q132" s="142"/>
      <c r="R132" s="142"/>
      <c r="S132" s="318"/>
      <c r="T132" s="142"/>
      <c r="U132" s="223">
        <f ca="1">ЦветЯчейки</f>
        <v>0</v>
      </c>
      <c r="V132" s="276" t="s">
        <v>1125</v>
      </c>
      <c r="W132" s="153" t="s">
        <v>449</v>
      </c>
      <c r="X132" s="153">
        <v>961</v>
      </c>
      <c r="Y132" s="270"/>
      <c r="Z132" s="172">
        <v>3600</v>
      </c>
      <c r="AA132" s="75">
        <f t="shared" ca="1" si="5"/>
        <v>43</v>
      </c>
      <c r="AB132" s="142"/>
      <c r="AC132" s="75"/>
      <c r="AD132" s="75"/>
      <c r="AE132" s="75"/>
      <c r="AF132" s="75">
        <f ca="1">ЦветЯчейки</f>
        <v>0</v>
      </c>
      <c r="AG132" s="5"/>
      <c r="AH132" s="5"/>
    </row>
    <row r="133" spans="1:34" s="1" customFormat="1" ht="45" x14ac:dyDescent="0.25">
      <c r="A133" s="182">
        <v>130</v>
      </c>
      <c r="B133" s="217" t="s">
        <v>610</v>
      </c>
      <c r="C133" s="218" t="s">
        <v>1016</v>
      </c>
      <c r="D133" s="221" t="s">
        <v>611</v>
      </c>
      <c r="E133" s="308">
        <v>44196</v>
      </c>
      <c r="F133" s="5" t="s">
        <v>33</v>
      </c>
      <c r="G133" s="194">
        <v>9204003528</v>
      </c>
      <c r="H133" s="194"/>
      <c r="I133" s="194"/>
      <c r="J133" s="195">
        <v>3</v>
      </c>
      <c r="K133" s="179">
        <v>734</v>
      </c>
      <c r="L133" s="153" t="s">
        <v>469</v>
      </c>
      <c r="M133" s="153">
        <v>367</v>
      </c>
      <c r="N133" s="172">
        <v>3600</v>
      </c>
      <c r="O133" s="284">
        <f ca="1">ЦветЯчейки</f>
        <v>43</v>
      </c>
      <c r="P133" s="272" t="s">
        <v>1060</v>
      </c>
      <c r="Q133" s="143" t="s">
        <v>476</v>
      </c>
      <c r="R133" s="143">
        <v>799</v>
      </c>
      <c r="S133" s="318"/>
      <c r="T133" s="175">
        <v>3600</v>
      </c>
      <c r="U133" s="223">
        <f ca="1">ЦветЯчейки</f>
        <v>3</v>
      </c>
      <c r="V133" s="142"/>
      <c r="W133" s="142"/>
      <c r="X133" s="142"/>
      <c r="Y133" s="142"/>
      <c r="Z133" s="173"/>
      <c r="AA133" s="75">
        <f t="shared" ca="1" si="5"/>
        <v>0</v>
      </c>
      <c r="AB133" s="142"/>
      <c r="AC133" s="75"/>
      <c r="AD133" s="75"/>
      <c r="AE133" s="75"/>
      <c r="AF133" s="75">
        <f ca="1">ЦветЯчейки</f>
        <v>0</v>
      </c>
      <c r="AG133" s="5"/>
      <c r="AH133" s="5"/>
    </row>
    <row r="134" spans="1:34" s="1" customFormat="1" ht="60" x14ac:dyDescent="0.25">
      <c r="A134" s="182">
        <v>131</v>
      </c>
      <c r="B134" s="217" t="s">
        <v>618</v>
      </c>
      <c r="C134" s="218" t="s">
        <v>1017</v>
      </c>
      <c r="D134" s="221" t="s">
        <v>620</v>
      </c>
      <c r="E134" s="308">
        <v>44196</v>
      </c>
      <c r="F134" s="5" t="s">
        <v>33</v>
      </c>
      <c r="G134" s="194">
        <v>9102255614</v>
      </c>
      <c r="H134" s="194"/>
      <c r="I134" s="194"/>
      <c r="J134" s="195">
        <v>1</v>
      </c>
      <c r="K134" s="179"/>
      <c r="L134" s="153"/>
      <c r="M134" s="153"/>
      <c r="N134" s="172"/>
      <c r="O134" s="284">
        <f ca="1">ЦветЯчейки</f>
        <v>43</v>
      </c>
      <c r="P134" s="270" t="s">
        <v>727</v>
      </c>
      <c r="Q134" s="143" t="s">
        <v>606</v>
      </c>
      <c r="R134" s="153">
        <v>519</v>
      </c>
      <c r="S134" s="318"/>
      <c r="T134" s="172">
        <v>2400</v>
      </c>
      <c r="U134" s="223">
        <f ca="1">ЦветЯчейки</f>
        <v>43</v>
      </c>
      <c r="V134" s="270" t="s">
        <v>1153</v>
      </c>
      <c r="W134" s="153" t="s">
        <v>476</v>
      </c>
      <c r="X134" s="153">
        <v>944</v>
      </c>
      <c r="Y134" s="270"/>
      <c r="Z134" s="172">
        <v>1200</v>
      </c>
      <c r="AA134" s="75">
        <f t="shared" ca="1" si="5"/>
        <v>43</v>
      </c>
      <c r="AB134" s="142"/>
      <c r="AC134" s="153" t="s">
        <v>439</v>
      </c>
      <c r="AD134" s="75"/>
      <c r="AE134" s="75"/>
      <c r="AF134" s="75">
        <f ca="1">ЦветЯчейки</f>
        <v>0</v>
      </c>
      <c r="AG134" s="5"/>
      <c r="AH134" s="5"/>
    </row>
    <row r="135" spans="1:34" s="1" customFormat="1" ht="45" x14ac:dyDescent="0.25">
      <c r="A135" s="182">
        <v>132</v>
      </c>
      <c r="B135" s="217" t="s">
        <v>638</v>
      </c>
      <c r="C135" s="218" t="s">
        <v>1018</v>
      </c>
      <c r="D135" s="101" t="s">
        <v>639</v>
      </c>
      <c r="E135" s="309">
        <v>44561</v>
      </c>
      <c r="F135" s="5" t="s">
        <v>33</v>
      </c>
      <c r="G135" s="194">
        <v>9108005314</v>
      </c>
      <c r="H135" s="194"/>
      <c r="I135" s="194"/>
      <c r="J135" s="195">
        <v>1</v>
      </c>
      <c r="K135" s="179"/>
      <c r="L135" s="153"/>
      <c r="M135" s="153"/>
      <c r="N135" s="172"/>
      <c r="O135" s="324">
        <f t="shared" ref="O135:O167" ca="1" si="6">ЦветЯчейки</f>
        <v>43</v>
      </c>
      <c r="P135" s="153"/>
      <c r="Q135" s="153"/>
      <c r="R135" s="153"/>
      <c r="S135" s="270"/>
      <c r="T135" s="153"/>
      <c r="U135" s="193">
        <f t="shared" ref="U135:U167" ca="1" si="7">ЦветЯчейки</f>
        <v>43</v>
      </c>
      <c r="V135" s="276" t="s">
        <v>1135</v>
      </c>
      <c r="W135" s="153" t="s">
        <v>449</v>
      </c>
      <c r="X135" s="153">
        <v>972</v>
      </c>
      <c r="Y135" s="270"/>
      <c r="Z135" s="172">
        <v>3600</v>
      </c>
      <c r="AA135" s="75">
        <f t="shared" ref="AA135:AA167" ca="1" si="8">ЦветЯчейки</f>
        <v>43</v>
      </c>
      <c r="AB135" s="142"/>
      <c r="AC135" s="142"/>
      <c r="AD135" s="75"/>
      <c r="AE135" s="75"/>
      <c r="AF135" s="75">
        <f ca="1">ЦветЯчейки</f>
        <v>0</v>
      </c>
      <c r="AG135" s="5"/>
      <c r="AH135" s="5"/>
    </row>
    <row r="136" spans="1:34" s="1" customFormat="1" ht="45" x14ac:dyDescent="0.25">
      <c r="A136" s="182">
        <v>133</v>
      </c>
      <c r="B136" s="217" t="s">
        <v>666</v>
      </c>
      <c r="C136" s="218" t="s">
        <v>1019</v>
      </c>
      <c r="D136" s="101" t="s">
        <v>667</v>
      </c>
      <c r="E136" s="309">
        <v>44561</v>
      </c>
      <c r="F136" s="5" t="s">
        <v>33</v>
      </c>
      <c r="G136" s="194">
        <v>9102258090</v>
      </c>
      <c r="H136" s="194"/>
      <c r="I136" s="194"/>
      <c r="J136" s="195">
        <v>2</v>
      </c>
      <c r="K136" s="179"/>
      <c r="L136" s="153" t="s">
        <v>439</v>
      </c>
      <c r="M136" s="153"/>
      <c r="N136" s="172"/>
      <c r="O136" s="284">
        <f t="shared" ca="1" si="6"/>
        <v>43</v>
      </c>
      <c r="P136" s="270" t="s">
        <v>726</v>
      </c>
      <c r="Q136" s="153" t="s">
        <v>417</v>
      </c>
      <c r="R136" s="153">
        <v>518</v>
      </c>
      <c r="S136" s="270"/>
      <c r="T136" s="172">
        <v>4800</v>
      </c>
      <c r="U136" s="223">
        <f t="shared" ca="1" si="7"/>
        <v>43</v>
      </c>
      <c r="V136" s="276" t="s">
        <v>1155</v>
      </c>
      <c r="W136" s="153" t="s">
        <v>456</v>
      </c>
      <c r="X136" s="153">
        <v>941</v>
      </c>
      <c r="Y136" s="270"/>
      <c r="Z136" s="172">
        <v>2400</v>
      </c>
      <c r="AA136" s="75">
        <f t="shared" ca="1" si="8"/>
        <v>43</v>
      </c>
      <c r="AB136" s="142"/>
      <c r="AC136" s="142"/>
      <c r="AD136" s="75"/>
      <c r="AE136" s="75"/>
      <c r="AF136" s="75">
        <f ca="1">ЦветЯчейки</f>
        <v>0</v>
      </c>
      <c r="AG136" s="5"/>
      <c r="AH136" s="5"/>
    </row>
    <row r="137" spans="1:34" s="1" customFormat="1" ht="45" x14ac:dyDescent="0.25">
      <c r="A137" s="182">
        <v>134</v>
      </c>
      <c r="B137" s="217" t="s">
        <v>668</v>
      </c>
      <c r="C137" s="218" t="s">
        <v>1020</v>
      </c>
      <c r="D137" s="221" t="s">
        <v>670</v>
      </c>
      <c r="E137" s="308">
        <v>44196</v>
      </c>
      <c r="F137" s="5" t="s">
        <v>33</v>
      </c>
      <c r="G137" s="194">
        <v>9204008156</v>
      </c>
      <c r="H137" s="194"/>
      <c r="I137" s="194"/>
      <c r="J137" s="195">
        <v>1</v>
      </c>
      <c r="K137" s="177"/>
      <c r="L137" s="153" t="s">
        <v>439</v>
      </c>
      <c r="M137" s="142"/>
      <c r="N137" s="173"/>
      <c r="O137" s="284">
        <f t="shared" ca="1" si="6"/>
        <v>0</v>
      </c>
      <c r="P137" s="142"/>
      <c r="Q137" s="142"/>
      <c r="R137" s="142"/>
      <c r="S137" s="318"/>
      <c r="T137" s="142"/>
      <c r="U137" s="223">
        <f t="shared" ca="1" si="7"/>
        <v>0</v>
      </c>
      <c r="V137" s="142"/>
      <c r="W137" s="142"/>
      <c r="X137" s="142"/>
      <c r="Y137" s="142"/>
      <c r="Z137" s="173"/>
      <c r="AA137" s="75">
        <f t="shared" ca="1" si="8"/>
        <v>0</v>
      </c>
      <c r="AB137" s="142"/>
      <c r="AC137" s="142"/>
      <c r="AD137" s="75"/>
      <c r="AE137" s="75"/>
      <c r="AF137" s="75">
        <f ca="1">ЦветЯчейки</f>
        <v>0</v>
      </c>
      <c r="AG137" s="5"/>
      <c r="AH137" s="5"/>
    </row>
    <row r="138" spans="1:34" s="1" customFormat="1" ht="60" x14ac:dyDescent="0.25">
      <c r="A138" s="182">
        <v>135</v>
      </c>
      <c r="B138" s="217" t="s">
        <v>677</v>
      </c>
      <c r="C138" s="218" t="s">
        <v>1021</v>
      </c>
      <c r="D138" s="221" t="s">
        <v>678</v>
      </c>
      <c r="E138" s="308">
        <v>44196</v>
      </c>
      <c r="F138" s="5" t="s">
        <v>33</v>
      </c>
      <c r="G138" s="194">
        <v>9103002380</v>
      </c>
      <c r="H138" s="194"/>
      <c r="I138" s="194"/>
      <c r="J138" s="195">
        <v>1</v>
      </c>
      <c r="K138" s="179">
        <v>671</v>
      </c>
      <c r="L138" s="153" t="s">
        <v>435</v>
      </c>
      <c r="M138" s="153">
        <v>219</v>
      </c>
      <c r="N138" s="172">
        <v>1200</v>
      </c>
      <c r="O138" s="284">
        <f t="shared" ca="1" si="6"/>
        <v>43</v>
      </c>
      <c r="P138" s="272"/>
      <c r="Q138" s="143"/>
      <c r="R138" s="143"/>
      <c r="S138" s="318"/>
      <c r="T138" s="175"/>
      <c r="U138" s="223">
        <f t="shared" ca="1" si="7"/>
        <v>3</v>
      </c>
      <c r="V138" s="276" t="s">
        <v>1118</v>
      </c>
      <c r="W138" s="153" t="s">
        <v>469</v>
      </c>
      <c r="X138" s="153">
        <v>953</v>
      </c>
      <c r="Y138" s="270"/>
      <c r="Z138" s="172">
        <v>2400</v>
      </c>
      <c r="AA138" s="75">
        <f t="shared" ca="1" si="8"/>
        <v>43</v>
      </c>
      <c r="AB138" s="142"/>
      <c r="AC138" s="142"/>
      <c r="AD138" s="75"/>
      <c r="AE138" s="75"/>
      <c r="AF138" s="75">
        <f ca="1">ЦветЯчейки</f>
        <v>0</v>
      </c>
      <c r="AG138" s="5"/>
      <c r="AH138" s="5"/>
    </row>
    <row r="139" spans="1:34" s="1" customFormat="1" ht="60" x14ac:dyDescent="0.25">
      <c r="A139" s="182">
        <v>136</v>
      </c>
      <c r="B139" s="217" t="s">
        <v>679</v>
      </c>
      <c r="C139" s="218" t="s">
        <v>1022</v>
      </c>
      <c r="D139" s="221" t="s">
        <v>680</v>
      </c>
      <c r="E139" s="308">
        <v>44196</v>
      </c>
      <c r="F139" s="5" t="s">
        <v>33</v>
      </c>
      <c r="G139" s="194">
        <v>9103014918</v>
      </c>
      <c r="H139" s="194"/>
      <c r="I139" s="194"/>
      <c r="J139" s="195">
        <v>1</v>
      </c>
      <c r="K139" s="179">
        <v>677</v>
      </c>
      <c r="L139" s="153" t="s">
        <v>435</v>
      </c>
      <c r="M139" s="153">
        <v>226</v>
      </c>
      <c r="N139" s="172">
        <v>1200</v>
      </c>
      <c r="O139" s="284">
        <f t="shared" ca="1" si="6"/>
        <v>43</v>
      </c>
      <c r="P139" s="270" t="s">
        <v>808</v>
      </c>
      <c r="Q139" s="153" t="s">
        <v>417</v>
      </c>
      <c r="R139" s="153">
        <v>667</v>
      </c>
      <c r="S139" s="270"/>
      <c r="T139" s="172">
        <v>1200</v>
      </c>
      <c r="U139" s="223">
        <f t="shared" ca="1" si="7"/>
        <v>43</v>
      </c>
      <c r="V139" s="270" t="s">
        <v>1152</v>
      </c>
      <c r="W139" s="153" t="s">
        <v>449</v>
      </c>
      <c r="X139" s="153">
        <v>1001</v>
      </c>
      <c r="Y139" s="270"/>
      <c r="Z139" s="172">
        <v>1200</v>
      </c>
      <c r="AA139" s="75">
        <f t="shared" ca="1" si="8"/>
        <v>43</v>
      </c>
      <c r="AB139" s="142"/>
      <c r="AC139" s="142"/>
      <c r="AD139" s="75"/>
      <c r="AE139" s="75"/>
      <c r="AF139" s="75">
        <f ca="1">ЦветЯчейки</f>
        <v>0</v>
      </c>
      <c r="AG139" s="5"/>
      <c r="AH139" s="5"/>
    </row>
    <row r="140" spans="1:34" s="1" customFormat="1" ht="30" x14ac:dyDescent="0.25">
      <c r="A140" s="182">
        <v>137</v>
      </c>
      <c r="B140" s="217" t="s">
        <v>701</v>
      </c>
      <c r="C140" s="218" t="s">
        <v>1023</v>
      </c>
      <c r="D140" s="101" t="s">
        <v>702</v>
      </c>
      <c r="E140" s="309">
        <v>44196</v>
      </c>
      <c r="F140" s="5" t="s">
        <v>33</v>
      </c>
      <c r="G140" s="194">
        <v>9203004751</v>
      </c>
      <c r="H140" s="194"/>
      <c r="I140" s="194"/>
      <c r="J140" s="195">
        <v>1</v>
      </c>
      <c r="K140" s="179">
        <v>737</v>
      </c>
      <c r="L140" s="153" t="s">
        <v>435</v>
      </c>
      <c r="M140" s="153">
        <v>376</v>
      </c>
      <c r="N140" s="172">
        <v>6000</v>
      </c>
      <c r="O140" s="284">
        <f t="shared" ca="1" si="6"/>
        <v>43</v>
      </c>
      <c r="P140" s="142"/>
      <c r="Q140" s="142"/>
      <c r="R140" s="142"/>
      <c r="S140" s="318"/>
      <c r="T140" s="142"/>
      <c r="U140" s="223">
        <f t="shared" ca="1" si="7"/>
        <v>0</v>
      </c>
      <c r="V140" s="142"/>
      <c r="W140" s="142"/>
      <c r="X140" s="142"/>
      <c r="Y140" s="142"/>
      <c r="Z140" s="173"/>
      <c r="AA140" s="75">
        <f t="shared" ca="1" si="8"/>
        <v>0</v>
      </c>
      <c r="AB140" s="142"/>
      <c r="AC140" s="142"/>
      <c r="AD140" s="75"/>
      <c r="AE140" s="75"/>
      <c r="AF140" s="75">
        <f ca="1">ЦветЯчейки</f>
        <v>0</v>
      </c>
      <c r="AG140" s="5"/>
      <c r="AH140" s="5"/>
    </row>
    <row r="141" spans="1:34" s="1" customFormat="1" ht="75" x14ac:dyDescent="0.25">
      <c r="A141" s="182">
        <v>138</v>
      </c>
      <c r="B141" s="217" t="s">
        <v>715</v>
      </c>
      <c r="C141" s="218" t="s">
        <v>1024</v>
      </c>
      <c r="D141" s="221" t="s">
        <v>716</v>
      </c>
      <c r="E141" s="308">
        <v>44561</v>
      </c>
      <c r="F141" s="5" t="s">
        <v>33</v>
      </c>
      <c r="G141" s="194">
        <v>9102013703</v>
      </c>
      <c r="H141" s="194"/>
      <c r="I141" s="194"/>
      <c r="J141" s="195">
        <v>1</v>
      </c>
      <c r="K141" s="177"/>
      <c r="L141" s="142"/>
      <c r="M141" s="142"/>
      <c r="N141" s="173"/>
      <c r="O141" s="284">
        <f t="shared" ca="1" si="6"/>
        <v>0</v>
      </c>
      <c r="P141" s="142"/>
      <c r="Q141" s="143" t="s">
        <v>717</v>
      </c>
      <c r="R141" s="142"/>
      <c r="S141" s="318"/>
      <c r="T141" s="142"/>
      <c r="U141" s="223">
        <f t="shared" ca="1" si="7"/>
        <v>0</v>
      </c>
      <c r="V141" s="142"/>
      <c r="W141" s="142"/>
      <c r="X141" s="142"/>
      <c r="Y141" s="142"/>
      <c r="Z141" s="173"/>
      <c r="AA141" s="75">
        <f t="shared" ca="1" si="8"/>
        <v>0</v>
      </c>
      <c r="AB141" s="142"/>
      <c r="AC141" s="142"/>
      <c r="AD141" s="75"/>
      <c r="AE141" s="75"/>
      <c r="AF141" s="75">
        <f ca="1">ЦветЯчейки</f>
        <v>0</v>
      </c>
      <c r="AG141" s="5"/>
      <c r="AH141" s="5"/>
    </row>
    <row r="142" spans="1:34" s="1" customFormat="1" ht="60" x14ac:dyDescent="0.25">
      <c r="A142" s="182">
        <v>139</v>
      </c>
      <c r="B142" s="217" t="s">
        <v>768</v>
      </c>
      <c r="C142" s="218" t="s">
        <v>1025</v>
      </c>
      <c r="D142" s="221" t="s">
        <v>769</v>
      </c>
      <c r="E142" s="308">
        <v>44561</v>
      </c>
      <c r="F142" s="5" t="s">
        <v>33</v>
      </c>
      <c r="G142" s="194">
        <v>9111007142</v>
      </c>
      <c r="H142" s="194"/>
      <c r="I142" s="194">
        <v>1</v>
      </c>
      <c r="J142" s="195"/>
      <c r="K142" s="179" t="s">
        <v>770</v>
      </c>
      <c r="L142" s="153"/>
      <c r="M142" s="153"/>
      <c r="N142" s="172"/>
      <c r="O142" s="284">
        <f t="shared" ca="1" si="6"/>
        <v>43</v>
      </c>
      <c r="P142" s="270" t="s">
        <v>771</v>
      </c>
      <c r="Q142" s="153" t="s">
        <v>417</v>
      </c>
      <c r="R142" s="153">
        <v>625</v>
      </c>
      <c r="S142" s="318"/>
      <c r="T142" s="172">
        <v>2400</v>
      </c>
      <c r="U142" s="223">
        <f t="shared" ca="1" si="7"/>
        <v>43</v>
      </c>
      <c r="V142" s="276" t="s">
        <v>1140</v>
      </c>
      <c r="W142" s="153" t="s">
        <v>449</v>
      </c>
      <c r="X142" s="153">
        <v>976</v>
      </c>
      <c r="Y142" s="270"/>
      <c r="Z142" s="172">
        <v>1200</v>
      </c>
      <c r="AA142" s="75">
        <f t="shared" ca="1" si="8"/>
        <v>43</v>
      </c>
      <c r="AB142" s="177"/>
      <c r="AC142" s="142"/>
      <c r="AD142" s="75"/>
      <c r="AE142" s="173"/>
      <c r="AF142" s="75">
        <f ca="1">ЦветЯчейки</f>
        <v>0</v>
      </c>
      <c r="AG142" s="75"/>
      <c r="AH142" s="5"/>
    </row>
    <row r="143" spans="1:34" s="1" customFormat="1" ht="60" x14ac:dyDescent="0.25">
      <c r="A143" s="182">
        <v>140</v>
      </c>
      <c r="B143" s="217" t="s">
        <v>723</v>
      </c>
      <c r="C143" s="218" t="s">
        <v>1026</v>
      </c>
      <c r="D143" s="221" t="s">
        <v>724</v>
      </c>
      <c r="E143" s="308">
        <v>44561</v>
      </c>
      <c r="F143" s="5" t="s">
        <v>33</v>
      </c>
      <c r="G143" s="194">
        <v>9111015295</v>
      </c>
      <c r="H143" s="194"/>
      <c r="I143" s="194"/>
      <c r="J143" s="195">
        <v>1</v>
      </c>
      <c r="K143" s="177"/>
      <c r="L143" s="142"/>
      <c r="M143" s="142"/>
      <c r="N143" s="173"/>
      <c r="O143" s="284">
        <f t="shared" ca="1" si="6"/>
        <v>0</v>
      </c>
      <c r="P143" s="142"/>
      <c r="Q143" s="142"/>
      <c r="R143" s="142"/>
      <c r="S143" s="318"/>
      <c r="T143" s="142"/>
      <c r="U143" s="223">
        <f t="shared" ca="1" si="7"/>
        <v>0</v>
      </c>
      <c r="V143" s="142"/>
      <c r="W143" s="153" t="s">
        <v>439</v>
      </c>
      <c r="X143" s="142"/>
      <c r="Y143" s="142"/>
      <c r="Z143" s="173"/>
      <c r="AA143" s="75">
        <f t="shared" ca="1" si="8"/>
        <v>0</v>
      </c>
      <c r="AB143" s="142"/>
      <c r="AC143" s="142"/>
      <c r="AD143" s="75"/>
      <c r="AE143" s="75"/>
      <c r="AF143" s="75">
        <f ca="1">ЦветЯчейки</f>
        <v>0</v>
      </c>
      <c r="AG143" s="5"/>
      <c r="AH143" s="5"/>
    </row>
    <row r="144" spans="1:34" s="1" customFormat="1" ht="75" x14ac:dyDescent="0.25">
      <c r="A144" s="182">
        <v>141</v>
      </c>
      <c r="B144" s="217" t="s">
        <v>823</v>
      </c>
      <c r="C144" s="218" t="s">
        <v>1027</v>
      </c>
      <c r="D144" s="221" t="s">
        <v>824</v>
      </c>
      <c r="E144" s="308">
        <v>44561</v>
      </c>
      <c r="F144" s="5" t="s">
        <v>33</v>
      </c>
      <c r="G144" s="194">
        <v>9102051755</v>
      </c>
      <c r="H144" s="194"/>
      <c r="I144" s="194">
        <v>1</v>
      </c>
      <c r="J144" s="195"/>
      <c r="K144" s="177"/>
      <c r="L144" s="142"/>
      <c r="M144" s="142"/>
      <c r="N144" s="173"/>
      <c r="O144" s="284">
        <f t="shared" ca="1" si="6"/>
        <v>0</v>
      </c>
      <c r="P144" s="177"/>
      <c r="Q144" s="142"/>
      <c r="R144" s="142"/>
      <c r="S144" s="318"/>
      <c r="T144" s="142"/>
      <c r="U144" s="223">
        <f t="shared" ca="1" si="7"/>
        <v>0</v>
      </c>
      <c r="V144" s="276" t="s">
        <v>1145</v>
      </c>
      <c r="W144" s="143" t="s">
        <v>469</v>
      </c>
      <c r="X144" s="153">
        <v>985</v>
      </c>
      <c r="Y144" s="270"/>
      <c r="Z144" s="172">
        <v>1200</v>
      </c>
      <c r="AA144" s="75">
        <f t="shared" ca="1" si="8"/>
        <v>43</v>
      </c>
      <c r="AB144" s="142"/>
      <c r="AC144" s="142"/>
      <c r="AD144" s="75"/>
      <c r="AE144" s="75"/>
      <c r="AF144" s="75">
        <f ca="1">ЦветЯчейки</f>
        <v>0</v>
      </c>
      <c r="AG144" s="5"/>
      <c r="AH144" s="5"/>
    </row>
    <row r="145" spans="1:34" s="1" customFormat="1" ht="75" x14ac:dyDescent="0.25">
      <c r="A145" s="182">
        <v>142</v>
      </c>
      <c r="B145" s="217" t="s">
        <v>1069</v>
      </c>
      <c r="C145" s="218" t="s">
        <v>1070</v>
      </c>
      <c r="D145" s="93" t="s">
        <v>1071</v>
      </c>
      <c r="E145" s="307">
        <v>44561</v>
      </c>
      <c r="F145" s="5" t="s">
        <v>33</v>
      </c>
      <c r="G145" s="194">
        <v>9111004455</v>
      </c>
      <c r="H145" s="194"/>
      <c r="I145" s="194">
        <v>1</v>
      </c>
      <c r="J145" s="195"/>
      <c r="K145" s="177"/>
      <c r="L145" s="142"/>
      <c r="M145" s="142"/>
      <c r="N145" s="173"/>
      <c r="O145" s="284"/>
      <c r="P145" s="177"/>
      <c r="Q145" s="142"/>
      <c r="R145" s="142"/>
      <c r="S145" s="318"/>
      <c r="T145" s="142"/>
      <c r="U145" s="223"/>
      <c r="V145" s="142"/>
      <c r="W145" s="142"/>
      <c r="X145" s="142"/>
      <c r="Y145" s="142"/>
      <c r="Z145" s="173"/>
      <c r="AA145" s="75"/>
      <c r="AB145" s="142"/>
      <c r="AC145" s="153" t="s">
        <v>439</v>
      </c>
      <c r="AD145" s="75"/>
      <c r="AE145" s="75"/>
      <c r="AF145" s="75"/>
      <c r="AG145" s="5"/>
      <c r="AH145" s="5"/>
    </row>
    <row r="146" spans="1:34" s="1" customFormat="1" ht="45" x14ac:dyDescent="0.25">
      <c r="A146" s="182"/>
      <c r="B146" s="217" t="s">
        <v>1137</v>
      </c>
      <c r="C146" s="218" t="s">
        <v>1138</v>
      </c>
      <c r="D146" s="221" t="s">
        <v>1139</v>
      </c>
      <c r="E146" s="307">
        <v>44561</v>
      </c>
      <c r="F146" s="5" t="s">
        <v>33</v>
      </c>
      <c r="G146" s="194">
        <v>9108111231</v>
      </c>
      <c r="H146" s="194"/>
      <c r="I146" s="194"/>
      <c r="J146" s="195">
        <v>1</v>
      </c>
      <c r="K146" s="177"/>
      <c r="L146" s="142"/>
      <c r="M146" s="142"/>
      <c r="N146" s="173"/>
      <c r="O146" s="284"/>
      <c r="P146" s="177"/>
      <c r="Q146" s="142"/>
      <c r="R146" s="142"/>
      <c r="S146" s="318"/>
      <c r="T146" s="142"/>
      <c r="U146" s="223"/>
      <c r="V146" s="142"/>
      <c r="W146" s="142"/>
      <c r="X146" s="142"/>
      <c r="Y146" s="142"/>
      <c r="Z146" s="173"/>
      <c r="AA146" s="75"/>
      <c r="AB146" s="142"/>
      <c r="AC146" s="153" t="s">
        <v>439</v>
      </c>
      <c r="AD146" s="75"/>
      <c r="AE146" s="75"/>
      <c r="AF146" s="75"/>
      <c r="AG146" s="5"/>
      <c r="AH146" s="5"/>
    </row>
    <row r="147" spans="1:34" s="1" customFormat="1" ht="75" x14ac:dyDescent="0.25">
      <c r="A147" s="182">
        <v>143</v>
      </c>
      <c r="B147" s="327" t="s">
        <v>1049</v>
      </c>
      <c r="C147" s="328" t="s">
        <v>1050</v>
      </c>
      <c r="D147" s="326" t="s">
        <v>1051</v>
      </c>
      <c r="E147" s="308">
        <v>44561</v>
      </c>
      <c r="F147" s="5" t="s">
        <v>33</v>
      </c>
      <c r="G147" s="194">
        <v>6154138497</v>
      </c>
      <c r="H147" s="194"/>
      <c r="I147" s="194"/>
      <c r="J147" s="195">
        <v>1</v>
      </c>
      <c r="K147" s="180" t="s">
        <v>1052</v>
      </c>
      <c r="L147" s="143"/>
      <c r="M147" s="143"/>
      <c r="N147" s="175"/>
      <c r="O147" s="284"/>
      <c r="P147" s="180" t="s">
        <v>1053</v>
      </c>
      <c r="Q147" s="143"/>
      <c r="R147" s="143"/>
      <c r="S147" s="268"/>
      <c r="T147" s="143"/>
      <c r="U147" s="223"/>
      <c r="V147" s="142"/>
      <c r="W147" s="143" t="s">
        <v>439</v>
      </c>
      <c r="X147" s="142"/>
      <c r="Y147" s="142"/>
      <c r="Z147" s="173"/>
      <c r="AA147" s="75"/>
      <c r="AB147" s="142"/>
      <c r="AC147" s="142"/>
      <c r="AD147" s="75"/>
      <c r="AE147" s="75"/>
      <c r="AF147" s="75"/>
      <c r="AG147" s="5"/>
      <c r="AH147" s="5"/>
    </row>
    <row r="148" spans="1:34" s="1" customFormat="1" ht="90" x14ac:dyDescent="0.25">
      <c r="A148" s="182">
        <v>144</v>
      </c>
      <c r="B148" s="214" t="s">
        <v>492</v>
      </c>
      <c r="C148" s="214" t="s">
        <v>1028</v>
      </c>
      <c r="D148" s="213" t="s">
        <v>714</v>
      </c>
      <c r="E148" s="296">
        <v>44196</v>
      </c>
      <c r="F148" s="5" t="s">
        <v>33</v>
      </c>
      <c r="G148" s="194">
        <v>901017000</v>
      </c>
      <c r="H148" s="194"/>
      <c r="I148" s="194"/>
      <c r="J148" s="195">
        <v>5</v>
      </c>
      <c r="K148" s="179">
        <v>776</v>
      </c>
      <c r="L148" s="143" t="s">
        <v>417</v>
      </c>
      <c r="M148" s="153">
        <v>470</v>
      </c>
      <c r="N148" s="172">
        <v>6000</v>
      </c>
      <c r="O148" s="284">
        <f t="shared" ca="1" si="6"/>
        <v>43</v>
      </c>
      <c r="P148" s="275" t="s">
        <v>815</v>
      </c>
      <c r="Q148" s="153" t="s">
        <v>417</v>
      </c>
      <c r="R148" s="206">
        <v>679</v>
      </c>
      <c r="S148" s="276"/>
      <c r="T148" s="172">
        <v>6000</v>
      </c>
      <c r="U148" s="223">
        <f t="shared" ca="1" si="7"/>
        <v>43</v>
      </c>
      <c r="V148" s="268" t="s">
        <v>1189</v>
      </c>
      <c r="W148" s="143" t="s">
        <v>449</v>
      </c>
      <c r="X148" s="143">
        <v>1049</v>
      </c>
      <c r="Y148" s="318"/>
      <c r="Z148" s="175">
        <v>6000</v>
      </c>
      <c r="AA148" s="75">
        <f t="shared" ca="1" si="8"/>
        <v>3</v>
      </c>
      <c r="AB148" s="142"/>
      <c r="AC148" s="75"/>
      <c r="AD148" s="75"/>
      <c r="AE148" s="75"/>
      <c r="AF148" s="75">
        <f ca="1">ЦветЯчейки</f>
        <v>0</v>
      </c>
      <c r="AG148" s="5"/>
      <c r="AH148" s="5"/>
    </row>
    <row r="149" spans="1:34" s="1" customFormat="1" ht="60" x14ac:dyDescent="0.25">
      <c r="A149" s="182">
        <v>145</v>
      </c>
      <c r="B149" s="214" t="s">
        <v>494</v>
      </c>
      <c r="C149" s="214" t="s">
        <v>1029</v>
      </c>
      <c r="D149" s="93" t="s">
        <v>863</v>
      </c>
      <c r="E149" s="296">
        <v>44196</v>
      </c>
      <c r="F149" s="5" t="s">
        <v>33</v>
      </c>
      <c r="G149" s="194">
        <v>901016983</v>
      </c>
      <c r="H149" s="194"/>
      <c r="I149" s="194"/>
      <c r="J149" s="195">
        <v>1</v>
      </c>
      <c r="K149" s="179">
        <v>744</v>
      </c>
      <c r="L149" s="153" t="s">
        <v>417</v>
      </c>
      <c r="M149" s="153">
        <v>398</v>
      </c>
      <c r="N149" s="172">
        <v>1200</v>
      </c>
      <c r="O149" s="284">
        <f t="shared" ca="1" si="6"/>
        <v>43</v>
      </c>
      <c r="P149" s="275" t="s">
        <v>814</v>
      </c>
      <c r="Q149" s="153" t="s">
        <v>417</v>
      </c>
      <c r="R149" s="206">
        <v>678</v>
      </c>
      <c r="S149" s="276"/>
      <c r="T149" s="172">
        <v>1200</v>
      </c>
      <c r="U149" s="223">
        <f t="shared" ca="1" si="7"/>
        <v>43</v>
      </c>
      <c r="V149" s="268" t="s">
        <v>1188</v>
      </c>
      <c r="W149" s="143" t="s">
        <v>449</v>
      </c>
      <c r="X149" s="143">
        <v>1048</v>
      </c>
      <c r="Y149" s="318"/>
      <c r="Z149" s="175">
        <v>1200</v>
      </c>
      <c r="AA149" s="75">
        <f t="shared" ca="1" si="8"/>
        <v>3</v>
      </c>
      <c r="AB149" s="142"/>
      <c r="AC149" s="75"/>
      <c r="AD149" s="75"/>
      <c r="AE149" s="75"/>
      <c r="AF149" s="75">
        <f ca="1">ЦветЯчейки</f>
        <v>0</v>
      </c>
      <c r="AG149" s="5"/>
      <c r="AH149" s="5"/>
    </row>
    <row r="150" spans="1:34" s="1" customFormat="1" ht="117" customHeight="1" x14ac:dyDescent="0.25">
      <c r="A150" s="182">
        <v>146</v>
      </c>
      <c r="B150" s="214" t="s">
        <v>545</v>
      </c>
      <c r="C150" s="231" t="s">
        <v>1030</v>
      </c>
      <c r="D150" s="138" t="s">
        <v>1175</v>
      </c>
      <c r="E150" s="295">
        <v>44196</v>
      </c>
      <c r="F150" s="75"/>
      <c r="G150" s="194">
        <v>901002282</v>
      </c>
      <c r="H150" s="194"/>
      <c r="I150" s="194"/>
      <c r="J150" s="195">
        <v>33</v>
      </c>
      <c r="K150" s="179">
        <v>745</v>
      </c>
      <c r="L150" s="143" t="s">
        <v>417</v>
      </c>
      <c r="M150" s="153">
        <v>399</v>
      </c>
      <c r="N150" s="172">
        <v>33000</v>
      </c>
      <c r="O150" s="284">
        <f t="shared" ca="1" si="6"/>
        <v>43</v>
      </c>
      <c r="P150" s="270" t="s">
        <v>767</v>
      </c>
      <c r="Q150" s="153" t="s">
        <v>417</v>
      </c>
      <c r="R150" s="153">
        <v>614</v>
      </c>
      <c r="S150" s="318"/>
      <c r="T150" s="172">
        <v>33000</v>
      </c>
      <c r="U150" s="223">
        <f t="shared" ca="1" si="7"/>
        <v>43</v>
      </c>
      <c r="V150" s="268" t="s">
        <v>1161</v>
      </c>
      <c r="W150" s="143" t="s">
        <v>417</v>
      </c>
      <c r="X150" s="143">
        <v>1015</v>
      </c>
      <c r="Y150" s="318"/>
      <c r="Z150" s="175">
        <v>33000</v>
      </c>
      <c r="AA150" s="75">
        <f t="shared" ca="1" si="8"/>
        <v>3</v>
      </c>
      <c r="AB150" s="142"/>
      <c r="AC150" s="75"/>
      <c r="AD150" s="75"/>
      <c r="AE150" s="75"/>
      <c r="AF150" s="75">
        <f ca="1">ЦветЯчейки</f>
        <v>0</v>
      </c>
      <c r="AG150" s="5"/>
      <c r="AH150" s="5"/>
    </row>
    <row r="151" spans="1:34" s="1" customFormat="1" ht="76.5" customHeight="1" x14ac:dyDescent="0.25">
      <c r="A151" s="182">
        <v>147</v>
      </c>
      <c r="B151" s="214" t="s">
        <v>564</v>
      </c>
      <c r="C151" s="231" t="s">
        <v>1031</v>
      </c>
      <c r="D151" s="238" t="s">
        <v>563</v>
      </c>
      <c r="E151" s="301">
        <v>44196</v>
      </c>
      <c r="F151" s="5" t="s">
        <v>33</v>
      </c>
      <c r="G151" s="194">
        <v>917026673</v>
      </c>
      <c r="H151" s="194"/>
      <c r="I151" s="194">
        <v>1</v>
      </c>
      <c r="J151" s="195"/>
      <c r="K151" s="179"/>
      <c r="L151" s="153"/>
      <c r="M151" s="153"/>
      <c r="N151" s="172"/>
      <c r="O151" s="284">
        <f t="shared" ca="1" si="6"/>
        <v>43</v>
      </c>
      <c r="P151" s="270" t="s">
        <v>1064</v>
      </c>
      <c r="Q151" s="153" t="s">
        <v>417</v>
      </c>
      <c r="R151" s="153">
        <v>796</v>
      </c>
      <c r="S151" s="318"/>
      <c r="T151" s="172">
        <v>1200</v>
      </c>
      <c r="U151" s="223">
        <f t="shared" ca="1" si="7"/>
        <v>43</v>
      </c>
      <c r="V151" s="142"/>
      <c r="W151" s="142"/>
      <c r="X151" s="142"/>
      <c r="Y151" s="142"/>
      <c r="Z151" s="142"/>
      <c r="AA151" s="75">
        <f t="shared" ca="1" si="8"/>
        <v>0</v>
      </c>
      <c r="AB151" s="142"/>
      <c r="AC151" s="75"/>
      <c r="AD151" s="75"/>
      <c r="AE151" s="75"/>
      <c r="AF151" s="75">
        <f ca="1">ЦветЯчейки</f>
        <v>0</v>
      </c>
      <c r="AG151" s="5"/>
      <c r="AH151" s="5"/>
    </row>
    <row r="152" spans="1:34" s="1" customFormat="1" ht="99.75" customHeight="1" x14ac:dyDescent="0.25">
      <c r="A152" s="182">
        <v>148</v>
      </c>
      <c r="B152" s="214" t="s">
        <v>584</v>
      </c>
      <c r="C152" s="231" t="s">
        <v>1032</v>
      </c>
      <c r="D152" s="312" t="s">
        <v>804</v>
      </c>
      <c r="E152" s="313">
        <v>44211</v>
      </c>
      <c r="F152" s="5" t="s">
        <v>33</v>
      </c>
      <c r="G152" s="194">
        <v>901027093</v>
      </c>
      <c r="H152" s="194"/>
      <c r="I152" s="194"/>
      <c r="J152" s="195">
        <v>7</v>
      </c>
      <c r="K152" s="179">
        <v>702</v>
      </c>
      <c r="L152" s="153" t="s">
        <v>476</v>
      </c>
      <c r="M152" s="153">
        <v>321</v>
      </c>
      <c r="N152" s="172">
        <v>8400</v>
      </c>
      <c r="O152" s="284">
        <f t="shared" ca="1" si="6"/>
        <v>43</v>
      </c>
      <c r="P152" s="276" t="s">
        <v>802</v>
      </c>
      <c r="Q152" s="153" t="s">
        <v>455</v>
      </c>
      <c r="R152" s="206" t="s">
        <v>803</v>
      </c>
      <c r="S152" s="320"/>
      <c r="T152" s="172">
        <v>12000</v>
      </c>
      <c r="U152" s="223">
        <f t="shared" ca="1" si="7"/>
        <v>43</v>
      </c>
      <c r="V152" s="268" t="s">
        <v>1205</v>
      </c>
      <c r="W152" s="143" t="s">
        <v>1206</v>
      </c>
      <c r="X152" s="245" t="s">
        <v>1207</v>
      </c>
      <c r="Y152" s="318"/>
      <c r="Z152" s="175">
        <v>7200</v>
      </c>
      <c r="AA152" s="75">
        <f t="shared" ca="1" si="8"/>
        <v>3</v>
      </c>
      <c r="AB152" s="142"/>
      <c r="AC152" s="75"/>
      <c r="AD152" s="75"/>
      <c r="AE152" s="75"/>
      <c r="AF152" s="75">
        <f ca="1">ЦветЯчейки</f>
        <v>0</v>
      </c>
      <c r="AG152" s="5"/>
      <c r="AH152" s="5"/>
    </row>
    <row r="153" spans="1:34" s="1" customFormat="1" ht="76.5" customHeight="1" x14ac:dyDescent="0.25">
      <c r="A153" s="182">
        <v>149</v>
      </c>
      <c r="B153" s="214" t="s">
        <v>651</v>
      </c>
      <c r="C153" s="231" t="s">
        <v>1033</v>
      </c>
      <c r="D153" s="241" t="s">
        <v>865</v>
      </c>
      <c r="E153" s="314" t="s">
        <v>864</v>
      </c>
      <c r="F153" s="5" t="s">
        <v>33</v>
      </c>
      <c r="G153" s="194">
        <v>902009354</v>
      </c>
      <c r="H153" s="194"/>
      <c r="I153" s="194"/>
      <c r="J153" s="195">
        <v>15</v>
      </c>
      <c r="K153" s="177"/>
      <c r="L153" s="153" t="s">
        <v>439</v>
      </c>
      <c r="M153" s="5"/>
      <c r="N153" s="173"/>
      <c r="O153" s="284">
        <f t="shared" ca="1" si="6"/>
        <v>0</v>
      </c>
      <c r="P153" s="142"/>
      <c r="Q153" s="142"/>
      <c r="R153" s="142"/>
      <c r="S153" s="318"/>
      <c r="T153" s="175">
        <v>3000</v>
      </c>
      <c r="U153" s="223">
        <f t="shared" ca="1" si="7"/>
        <v>3</v>
      </c>
      <c r="V153" s="272" t="s">
        <v>1131</v>
      </c>
      <c r="W153" s="143" t="s">
        <v>449</v>
      </c>
      <c r="X153" s="245" t="s">
        <v>1132</v>
      </c>
      <c r="Y153" s="318"/>
      <c r="Z153" s="172">
        <v>42000</v>
      </c>
      <c r="AA153" s="75">
        <f t="shared" ca="1" si="8"/>
        <v>43</v>
      </c>
      <c r="AB153" s="142"/>
      <c r="AC153" s="75"/>
      <c r="AD153" s="75"/>
      <c r="AE153" s="75"/>
      <c r="AF153" s="75">
        <f ca="1">ЦветЯчейки</f>
        <v>0</v>
      </c>
      <c r="AG153" s="5"/>
      <c r="AH153" s="5"/>
    </row>
    <row r="154" spans="1:34" s="1" customFormat="1" ht="76.5" customHeight="1" x14ac:dyDescent="0.25">
      <c r="A154" s="182">
        <v>150</v>
      </c>
      <c r="B154" s="214" t="s">
        <v>688</v>
      </c>
      <c r="C154" s="231" t="s">
        <v>1034</v>
      </c>
      <c r="D154" s="241" t="s">
        <v>867</v>
      </c>
      <c r="E154" s="314" t="s">
        <v>866</v>
      </c>
      <c r="F154" s="5" t="s">
        <v>33</v>
      </c>
      <c r="G154" s="194">
        <v>906002712</v>
      </c>
      <c r="H154" s="194"/>
      <c r="I154" s="194"/>
      <c r="J154" s="195">
        <v>10</v>
      </c>
      <c r="K154" s="179">
        <v>701</v>
      </c>
      <c r="L154" s="153" t="s">
        <v>435</v>
      </c>
      <c r="M154" s="6">
        <v>287</v>
      </c>
      <c r="N154" s="172">
        <v>4500</v>
      </c>
      <c r="O154" s="284">
        <f t="shared" ca="1" si="6"/>
        <v>43</v>
      </c>
      <c r="P154" s="142"/>
      <c r="Q154" s="142"/>
      <c r="R154" s="142"/>
      <c r="S154" s="318"/>
      <c r="T154" s="173"/>
      <c r="U154" s="223">
        <f t="shared" ca="1" si="7"/>
        <v>0</v>
      </c>
      <c r="V154" s="142"/>
      <c r="W154" s="142"/>
      <c r="X154" s="142"/>
      <c r="Y154" s="142"/>
      <c r="Z154" s="173"/>
      <c r="AA154" s="75">
        <f t="shared" ca="1" si="8"/>
        <v>0</v>
      </c>
      <c r="AB154" s="142"/>
      <c r="AC154" s="75"/>
      <c r="AD154" s="75"/>
      <c r="AE154" s="75"/>
      <c r="AF154" s="75">
        <f ca="1">ЦветЯчейки</f>
        <v>0</v>
      </c>
      <c r="AG154" s="5"/>
      <c r="AH154" s="5"/>
    </row>
    <row r="155" spans="1:34" s="1" customFormat="1" ht="76.5" customHeight="1" x14ac:dyDescent="0.25">
      <c r="A155" s="182">
        <v>151</v>
      </c>
      <c r="B155" s="214" t="s">
        <v>1076</v>
      </c>
      <c r="C155" s="231" t="s">
        <v>1077</v>
      </c>
      <c r="D155" s="215" t="s">
        <v>1078</v>
      </c>
      <c r="E155" s="314" t="s">
        <v>1079</v>
      </c>
      <c r="F155" s="5" t="s">
        <v>33</v>
      </c>
      <c r="G155" s="194">
        <v>917021065</v>
      </c>
      <c r="H155" s="194"/>
      <c r="I155" s="194"/>
      <c r="J155" s="195"/>
      <c r="K155" s="333"/>
      <c r="L155" s="332"/>
      <c r="M155" s="278"/>
      <c r="N155" s="173"/>
      <c r="O155" s="284"/>
      <c r="P155" s="142"/>
      <c r="Q155" s="142"/>
      <c r="R155" s="142"/>
      <c r="S155" s="318"/>
      <c r="T155" s="173"/>
      <c r="U155" s="223"/>
      <c r="V155" s="177"/>
      <c r="W155" s="142"/>
      <c r="X155" s="142"/>
      <c r="Y155" s="142"/>
      <c r="Z155" s="173"/>
      <c r="AA155" s="75"/>
      <c r="AB155" s="142"/>
      <c r="AC155" s="143" t="s">
        <v>717</v>
      </c>
      <c r="AD155" s="75"/>
      <c r="AE155" s="75"/>
      <c r="AF155" s="75"/>
      <c r="AG155" s="5"/>
      <c r="AH155" s="5"/>
    </row>
    <row r="156" spans="1:34" s="1" customFormat="1" ht="24.75" customHeight="1" x14ac:dyDescent="0.25">
      <c r="A156" s="420">
        <v>152</v>
      </c>
      <c r="B156" s="421" t="s">
        <v>660</v>
      </c>
      <c r="C156" s="424" t="s">
        <v>1035</v>
      </c>
      <c r="D156" s="405" t="s">
        <v>705</v>
      </c>
      <c r="E156" s="307">
        <v>44286</v>
      </c>
      <c r="F156" s="369" t="s">
        <v>33</v>
      </c>
      <c r="G156" s="369">
        <v>2631017987</v>
      </c>
      <c r="H156" s="369"/>
      <c r="I156" s="369"/>
      <c r="J156" s="363">
        <v>37</v>
      </c>
      <c r="K156" s="417">
        <v>705</v>
      </c>
      <c r="L156" s="411" t="s">
        <v>435</v>
      </c>
      <c r="M156" s="411">
        <v>331</v>
      </c>
      <c r="N156" s="172"/>
      <c r="O156" s="284">
        <f t="shared" ca="1" si="6"/>
        <v>43</v>
      </c>
      <c r="P156" s="153">
        <v>743</v>
      </c>
      <c r="Q156" s="153" t="s">
        <v>417</v>
      </c>
      <c r="R156" s="153">
        <v>394</v>
      </c>
      <c r="S156" s="318"/>
      <c r="T156" s="172">
        <v>3750</v>
      </c>
      <c r="U156" s="223">
        <f t="shared" ca="1" si="7"/>
        <v>43</v>
      </c>
      <c r="V156" s="271" t="s">
        <v>872</v>
      </c>
      <c r="W156" s="153" t="s">
        <v>417</v>
      </c>
      <c r="X156" s="206">
        <v>731</v>
      </c>
      <c r="Y156" s="206"/>
      <c r="Z156" s="172">
        <v>3750</v>
      </c>
      <c r="AA156" s="223">
        <f t="shared" ca="1" si="8"/>
        <v>43</v>
      </c>
      <c r="AB156" s="271" t="s">
        <v>1199</v>
      </c>
      <c r="AC156" s="153" t="s">
        <v>417</v>
      </c>
      <c r="AD156" s="245">
        <v>1093</v>
      </c>
      <c r="AE156" s="245">
        <v>3750</v>
      </c>
      <c r="AF156" s="75">
        <f ca="1">ЦветЯчейки</f>
        <v>3</v>
      </c>
      <c r="AG156" s="5"/>
      <c r="AH156" s="5"/>
    </row>
    <row r="157" spans="1:34" s="1" customFormat="1" ht="24" customHeight="1" x14ac:dyDescent="0.25">
      <c r="A157" s="420"/>
      <c r="B157" s="422"/>
      <c r="C157" s="425"/>
      <c r="D157" s="406"/>
      <c r="E157" s="307">
        <v>44286</v>
      </c>
      <c r="F157" s="370"/>
      <c r="G157" s="370"/>
      <c r="H157" s="370"/>
      <c r="I157" s="370"/>
      <c r="J157" s="364"/>
      <c r="K157" s="418"/>
      <c r="L157" s="412"/>
      <c r="M157" s="412"/>
      <c r="N157" s="172">
        <v>18750</v>
      </c>
      <c r="O157" s="284">
        <f t="shared" ca="1" si="6"/>
        <v>43</v>
      </c>
      <c r="P157" s="153">
        <v>778</v>
      </c>
      <c r="Q157" s="143" t="s">
        <v>417</v>
      </c>
      <c r="R157" s="153">
        <v>483</v>
      </c>
      <c r="S157" s="318"/>
      <c r="T157" s="172">
        <v>3750</v>
      </c>
      <c r="U157" s="223">
        <f t="shared" ca="1" si="7"/>
        <v>43</v>
      </c>
      <c r="V157" s="271" t="s">
        <v>1058</v>
      </c>
      <c r="W157" s="153" t="s">
        <v>417</v>
      </c>
      <c r="X157" s="206">
        <v>835</v>
      </c>
      <c r="Y157" s="206"/>
      <c r="Z157" s="172">
        <v>3750</v>
      </c>
      <c r="AA157" s="75">
        <f t="shared" ca="1" si="8"/>
        <v>43</v>
      </c>
      <c r="AB157" s="142"/>
      <c r="AC157" s="75"/>
      <c r="AD157" s="75"/>
      <c r="AE157" s="75"/>
      <c r="AF157" s="75">
        <f ca="1">ЦветЯчейки</f>
        <v>0</v>
      </c>
      <c r="AG157" s="5"/>
      <c r="AH157" s="5"/>
    </row>
    <row r="158" spans="1:34" s="1" customFormat="1" ht="24" customHeight="1" x14ac:dyDescent="0.25">
      <c r="A158" s="420"/>
      <c r="B158" s="423"/>
      <c r="C158" s="426"/>
      <c r="D158" s="407"/>
      <c r="E158" s="307">
        <v>44286</v>
      </c>
      <c r="F158" s="371"/>
      <c r="G158" s="371"/>
      <c r="H158" s="371"/>
      <c r="I158" s="371"/>
      <c r="J158" s="365"/>
      <c r="K158" s="419"/>
      <c r="L158" s="413"/>
      <c r="M158" s="413"/>
      <c r="N158" s="172"/>
      <c r="O158" s="284">
        <f t="shared" ca="1" si="6"/>
        <v>43</v>
      </c>
      <c r="P158" s="270" t="s">
        <v>776</v>
      </c>
      <c r="Q158" s="143" t="s">
        <v>417</v>
      </c>
      <c r="R158" s="153">
        <v>656</v>
      </c>
      <c r="S158" s="318" t="s">
        <v>876</v>
      </c>
      <c r="T158" s="172">
        <v>18750</v>
      </c>
      <c r="U158" s="223">
        <f t="shared" ca="1" si="7"/>
        <v>43</v>
      </c>
      <c r="V158" s="271" t="s">
        <v>1092</v>
      </c>
      <c r="W158" s="153" t="s">
        <v>417</v>
      </c>
      <c r="X158" s="206">
        <v>879</v>
      </c>
      <c r="Y158" s="206"/>
      <c r="Z158" s="172">
        <v>18750</v>
      </c>
      <c r="AA158" s="75">
        <f t="shared" ca="1" si="8"/>
        <v>43</v>
      </c>
      <c r="AB158" s="142"/>
      <c r="AC158" s="75"/>
      <c r="AD158" s="75"/>
      <c r="AE158" s="75"/>
      <c r="AF158" s="75">
        <f ca="1">ЦветЯчейки</f>
        <v>0</v>
      </c>
      <c r="AG158" s="5"/>
      <c r="AH158" s="5"/>
    </row>
    <row r="159" spans="1:34" s="1" customFormat="1" ht="15" customHeight="1" x14ac:dyDescent="0.25">
      <c r="A159" s="349">
        <v>153</v>
      </c>
      <c r="B159" s="421" t="s">
        <v>659</v>
      </c>
      <c r="C159" s="424" t="s">
        <v>1035</v>
      </c>
      <c r="D159" s="405" t="s">
        <v>705</v>
      </c>
      <c r="E159" s="307">
        <v>44286</v>
      </c>
      <c r="F159" s="390" t="s">
        <v>33</v>
      </c>
      <c r="G159" s="369">
        <v>2631018148</v>
      </c>
      <c r="H159" s="369"/>
      <c r="I159" s="360">
        <v>9</v>
      </c>
      <c r="J159" s="363">
        <v>16</v>
      </c>
      <c r="K159" s="408">
        <v>703</v>
      </c>
      <c r="L159" s="411" t="s">
        <v>417</v>
      </c>
      <c r="M159" s="414">
        <v>331</v>
      </c>
      <c r="N159" s="236"/>
      <c r="O159" s="284">
        <f t="shared" ca="1" si="6"/>
        <v>29</v>
      </c>
      <c r="P159" s="153">
        <v>741</v>
      </c>
      <c r="Q159" s="143" t="s">
        <v>417</v>
      </c>
      <c r="R159" s="153">
        <v>394</v>
      </c>
      <c r="S159" s="318"/>
      <c r="T159" s="236"/>
      <c r="U159" s="223">
        <f t="shared" ca="1" si="7"/>
        <v>29</v>
      </c>
      <c r="V159" s="271" t="s">
        <v>873</v>
      </c>
      <c r="W159" s="143" t="s">
        <v>417</v>
      </c>
      <c r="X159" s="136"/>
      <c r="Y159" s="136"/>
      <c r="Z159" s="236"/>
      <c r="AA159" s="75">
        <f t="shared" ca="1" si="8"/>
        <v>29</v>
      </c>
      <c r="AB159" s="271" t="s">
        <v>1200</v>
      </c>
      <c r="AC159" s="143" t="s">
        <v>417</v>
      </c>
      <c r="AD159" s="136"/>
      <c r="AE159" s="335"/>
      <c r="AF159" s="75">
        <f ca="1">ЦветЯчейки</f>
        <v>29</v>
      </c>
      <c r="AG159" s="5"/>
      <c r="AH159" s="5"/>
    </row>
    <row r="160" spans="1:34" s="1" customFormat="1" x14ac:dyDescent="0.25">
      <c r="A160" s="349"/>
      <c r="B160" s="422"/>
      <c r="C160" s="425"/>
      <c r="D160" s="406"/>
      <c r="E160" s="307">
        <v>44286</v>
      </c>
      <c r="F160" s="391"/>
      <c r="G160" s="370"/>
      <c r="H160" s="370"/>
      <c r="I160" s="361"/>
      <c r="J160" s="364"/>
      <c r="K160" s="409"/>
      <c r="L160" s="412"/>
      <c r="M160" s="415"/>
      <c r="N160" s="236"/>
      <c r="O160" s="284">
        <f t="shared" ca="1" si="6"/>
        <v>29</v>
      </c>
      <c r="P160" s="153">
        <v>780</v>
      </c>
      <c r="Q160" s="143" t="s">
        <v>417</v>
      </c>
      <c r="R160" s="153">
        <v>483</v>
      </c>
      <c r="S160" s="318"/>
      <c r="T160" s="236"/>
      <c r="U160" s="223">
        <f t="shared" ca="1" si="7"/>
        <v>29</v>
      </c>
      <c r="V160" s="271" t="s">
        <v>1059</v>
      </c>
      <c r="W160" s="143" t="s">
        <v>417</v>
      </c>
      <c r="X160" s="136"/>
      <c r="Y160" s="136"/>
      <c r="Z160" s="236"/>
      <c r="AA160" s="75">
        <f t="shared" ca="1" si="8"/>
        <v>29</v>
      </c>
      <c r="AB160" s="142"/>
      <c r="AC160" s="75"/>
      <c r="AD160" s="75"/>
      <c r="AE160" s="75"/>
      <c r="AF160" s="75">
        <f ca="1">ЦветЯчейки</f>
        <v>0</v>
      </c>
      <c r="AG160" s="5"/>
      <c r="AH160" s="5"/>
    </row>
    <row r="161" spans="1:34" s="1" customFormat="1" x14ac:dyDescent="0.25">
      <c r="A161" s="349"/>
      <c r="B161" s="423"/>
      <c r="C161" s="426"/>
      <c r="D161" s="407"/>
      <c r="E161" s="307">
        <v>44286</v>
      </c>
      <c r="F161" s="392"/>
      <c r="G161" s="371"/>
      <c r="H161" s="371"/>
      <c r="I161" s="362"/>
      <c r="J161" s="365"/>
      <c r="K161" s="410"/>
      <c r="L161" s="413"/>
      <c r="M161" s="416"/>
      <c r="N161" s="236"/>
      <c r="O161" s="284">
        <f t="shared" ca="1" si="6"/>
        <v>29</v>
      </c>
      <c r="P161" s="268" t="s">
        <v>774</v>
      </c>
      <c r="Q161" s="143" t="s">
        <v>417</v>
      </c>
      <c r="R161" s="142"/>
      <c r="S161" s="318"/>
      <c r="T161" s="236"/>
      <c r="U161" s="223">
        <f t="shared" ca="1" si="7"/>
        <v>29</v>
      </c>
      <c r="V161" s="271" t="s">
        <v>1093</v>
      </c>
      <c r="W161" s="143" t="s">
        <v>417</v>
      </c>
      <c r="X161" s="136"/>
      <c r="Y161" s="136"/>
      <c r="Z161" s="236"/>
      <c r="AA161" s="75">
        <f t="shared" ca="1" si="8"/>
        <v>29</v>
      </c>
      <c r="AB161" s="142"/>
      <c r="AC161" s="248"/>
      <c r="AD161" s="75"/>
      <c r="AE161" s="75"/>
      <c r="AF161" s="75">
        <f ca="1">ЦветЯчейки</f>
        <v>0</v>
      </c>
      <c r="AG161" s="75"/>
      <c r="AH161" s="75"/>
    </row>
    <row r="162" spans="1:34" s="1" customFormat="1" ht="15" customHeight="1" x14ac:dyDescent="0.25">
      <c r="A162" s="349">
        <v>154</v>
      </c>
      <c r="B162" s="402" t="s">
        <v>251</v>
      </c>
      <c r="C162" s="402" t="s">
        <v>1036</v>
      </c>
      <c r="D162" s="405" t="s">
        <v>692</v>
      </c>
      <c r="E162" s="314">
        <v>44196</v>
      </c>
      <c r="F162" s="369" t="s">
        <v>33</v>
      </c>
      <c r="G162" s="369">
        <v>2617009102</v>
      </c>
      <c r="H162" s="393" t="s">
        <v>520</v>
      </c>
      <c r="I162" s="396"/>
      <c r="J162" s="399">
        <v>14</v>
      </c>
      <c r="K162" s="180">
        <v>661</v>
      </c>
      <c r="L162" s="208" t="s">
        <v>417</v>
      </c>
      <c r="M162" s="142"/>
      <c r="N162" s="173"/>
      <c r="O162" s="284">
        <f t="shared" ca="1" si="6"/>
        <v>0</v>
      </c>
      <c r="P162" s="143">
        <v>747</v>
      </c>
      <c r="Q162" s="143" t="s">
        <v>417</v>
      </c>
      <c r="R162" s="143">
        <v>402</v>
      </c>
      <c r="S162" s="318"/>
      <c r="T162" s="175">
        <v>3600</v>
      </c>
      <c r="U162" s="223">
        <f t="shared" ca="1" si="7"/>
        <v>3</v>
      </c>
      <c r="V162" s="271" t="s">
        <v>871</v>
      </c>
      <c r="W162" s="143" t="s">
        <v>417</v>
      </c>
      <c r="X162" s="245">
        <v>704</v>
      </c>
      <c r="Y162" s="245"/>
      <c r="Z162" s="175">
        <v>3600</v>
      </c>
      <c r="AA162" s="223">
        <f t="shared" ca="1" si="8"/>
        <v>3</v>
      </c>
      <c r="AB162" s="271" t="s">
        <v>1192</v>
      </c>
      <c r="AC162" s="143" t="s">
        <v>417</v>
      </c>
      <c r="AD162" s="245">
        <v>1056</v>
      </c>
      <c r="AE162" s="245">
        <v>3600</v>
      </c>
      <c r="AF162" s="75">
        <f ca="1">ЦветЯчейки</f>
        <v>3</v>
      </c>
      <c r="AG162" s="5"/>
      <c r="AH162" s="5"/>
    </row>
    <row r="163" spans="1:34" s="1" customFormat="1" x14ac:dyDescent="0.25">
      <c r="A163" s="349"/>
      <c r="B163" s="403"/>
      <c r="C163" s="403"/>
      <c r="D163" s="406"/>
      <c r="E163" s="314">
        <v>44196</v>
      </c>
      <c r="F163" s="370"/>
      <c r="G163" s="370"/>
      <c r="H163" s="394"/>
      <c r="I163" s="397"/>
      <c r="J163" s="400"/>
      <c r="K163" s="180">
        <v>668</v>
      </c>
      <c r="L163" s="254" t="s">
        <v>417</v>
      </c>
      <c r="M163" s="142"/>
      <c r="N163" s="173"/>
      <c r="O163" s="284">
        <f t="shared" ca="1" si="6"/>
        <v>0</v>
      </c>
      <c r="P163" s="142"/>
      <c r="Q163" s="142"/>
      <c r="R163" s="142"/>
      <c r="S163" s="318"/>
      <c r="T163" s="173"/>
      <c r="U163" s="223">
        <f t="shared" ca="1" si="7"/>
        <v>0</v>
      </c>
      <c r="V163" s="142"/>
      <c r="W163" s="142"/>
      <c r="X163" s="142"/>
      <c r="Y163" s="142"/>
      <c r="Z163" s="173"/>
      <c r="AA163" s="75">
        <f t="shared" ca="1" si="8"/>
        <v>0</v>
      </c>
      <c r="AB163" s="142"/>
      <c r="AC163" s="142"/>
      <c r="AD163" s="136"/>
      <c r="AE163" s="173"/>
      <c r="AF163" s="75">
        <f ca="1">ЦветЯчейки</f>
        <v>0</v>
      </c>
      <c r="AG163" s="5"/>
      <c r="AH163" s="5"/>
    </row>
    <row r="164" spans="1:34" s="1" customFormat="1" ht="56.25" customHeight="1" x14ac:dyDescent="0.25">
      <c r="A164" s="349"/>
      <c r="B164" s="404"/>
      <c r="C164" s="404"/>
      <c r="D164" s="407"/>
      <c r="E164" s="314">
        <v>44196</v>
      </c>
      <c r="F164" s="371"/>
      <c r="G164" s="371"/>
      <c r="H164" s="395"/>
      <c r="I164" s="398"/>
      <c r="J164" s="401"/>
      <c r="K164" s="179">
        <v>709</v>
      </c>
      <c r="L164" s="153" t="s">
        <v>449</v>
      </c>
      <c r="M164" s="206">
        <v>304</v>
      </c>
      <c r="N164" s="172">
        <v>24000</v>
      </c>
      <c r="O164" s="284">
        <f t="shared" ca="1" si="6"/>
        <v>43</v>
      </c>
      <c r="P164" s="272" t="s">
        <v>738</v>
      </c>
      <c r="Q164" s="153" t="s">
        <v>417</v>
      </c>
      <c r="R164" s="143">
        <v>576</v>
      </c>
      <c r="S164" s="318"/>
      <c r="T164" s="175">
        <v>16800</v>
      </c>
      <c r="U164" s="223">
        <f t="shared" ca="1" si="7"/>
        <v>3</v>
      </c>
      <c r="V164" s="271" t="s">
        <v>1116</v>
      </c>
      <c r="W164" s="143" t="s">
        <v>417</v>
      </c>
      <c r="X164" s="245">
        <v>949</v>
      </c>
      <c r="Y164" s="245"/>
      <c r="Z164" s="175">
        <v>16800</v>
      </c>
      <c r="AA164" s="75">
        <f t="shared" ca="1" si="8"/>
        <v>3</v>
      </c>
      <c r="AB164" s="142"/>
      <c r="AC164" s="75"/>
      <c r="AD164" s="75"/>
      <c r="AE164" s="75"/>
      <c r="AF164" s="75">
        <f ca="1">ЦветЯчейки</f>
        <v>0</v>
      </c>
      <c r="AG164" s="5"/>
      <c r="AH164" s="5"/>
    </row>
    <row r="165" spans="1:34" x14ac:dyDescent="0.25">
      <c r="A165" s="185"/>
      <c r="B165" s="165"/>
      <c r="C165" s="3"/>
      <c r="D165" s="165"/>
      <c r="E165" s="302"/>
      <c r="F165" s="3"/>
      <c r="G165" s="3"/>
      <c r="H165" s="3"/>
      <c r="I165" s="3"/>
      <c r="J165" s="186"/>
      <c r="K165" s="181"/>
      <c r="L165" s="3"/>
      <c r="M165" s="3"/>
      <c r="N165" s="174"/>
      <c r="O165" s="284">
        <f t="shared" ca="1" si="6"/>
        <v>0</v>
      </c>
      <c r="P165" s="3"/>
      <c r="Q165" s="3"/>
      <c r="R165" s="3"/>
      <c r="S165" s="321"/>
      <c r="T165" s="3"/>
      <c r="U165" s="223">
        <f t="shared" ca="1" si="7"/>
        <v>0</v>
      </c>
      <c r="V165" s="3"/>
      <c r="W165" s="3"/>
      <c r="X165" s="3"/>
      <c r="Y165" s="3"/>
      <c r="Z165" s="3"/>
      <c r="AA165" s="75">
        <f t="shared" ca="1" si="8"/>
        <v>0</v>
      </c>
      <c r="AB165" s="3"/>
      <c r="AC165" s="3"/>
      <c r="AD165" s="3"/>
      <c r="AE165" s="3"/>
      <c r="AF165" s="75">
        <f ca="1">ЦветЯчейки</f>
        <v>0</v>
      </c>
      <c r="AG165" s="3"/>
      <c r="AH165" s="3"/>
    </row>
    <row r="166" spans="1:34" x14ac:dyDescent="0.25">
      <c r="A166" s="185"/>
      <c r="B166" s="165"/>
      <c r="C166" s="3"/>
      <c r="D166" s="165"/>
      <c r="E166" s="302"/>
      <c r="F166" s="3"/>
      <c r="G166" s="3"/>
      <c r="H166" s="3"/>
      <c r="I166" s="3"/>
      <c r="J166" s="186"/>
      <c r="K166" s="181"/>
      <c r="L166" s="3"/>
      <c r="M166" s="3"/>
      <c r="N166" s="174"/>
      <c r="O166" s="284">
        <f t="shared" ca="1" si="6"/>
        <v>0</v>
      </c>
      <c r="P166" s="3"/>
      <c r="Q166" s="3"/>
      <c r="R166" s="3"/>
      <c r="S166" s="321"/>
      <c r="T166" s="3"/>
      <c r="U166" s="223">
        <f t="shared" ca="1" si="7"/>
        <v>0</v>
      </c>
      <c r="V166" s="3"/>
      <c r="W166" s="3"/>
      <c r="X166" s="3"/>
      <c r="Y166" s="3"/>
      <c r="Z166" s="3"/>
      <c r="AA166" s="75">
        <f t="shared" ca="1" si="8"/>
        <v>0</v>
      </c>
      <c r="AB166" s="3"/>
      <c r="AC166" s="3"/>
      <c r="AD166" s="3"/>
      <c r="AE166" s="3"/>
      <c r="AF166" s="75">
        <f ca="1">ЦветЯчейки</f>
        <v>0</v>
      </c>
      <c r="AG166" s="3"/>
      <c r="AH166" s="3"/>
    </row>
    <row r="167" spans="1:34" ht="15.75" thickBot="1" x14ac:dyDescent="0.3">
      <c r="A167" s="187"/>
      <c r="B167" s="188"/>
      <c r="C167" s="189"/>
      <c r="D167" s="188"/>
      <c r="E167" s="303"/>
      <c r="F167" s="189"/>
      <c r="G167" s="189"/>
      <c r="H167" s="189">
        <f>SUM(H1:H166)</f>
        <v>0</v>
      </c>
      <c r="I167" s="190">
        <f>SUM(I1:I166)</f>
        <v>357</v>
      </c>
      <c r="J167" s="191">
        <f>SUM(J1:J166)</f>
        <v>701</v>
      </c>
      <c r="K167" s="181"/>
      <c r="L167" s="3"/>
      <c r="M167" s="3"/>
      <c r="N167" s="3"/>
      <c r="O167" s="284">
        <f t="shared" ca="1" si="6"/>
        <v>0</v>
      </c>
      <c r="P167" s="3"/>
      <c r="Q167" s="3"/>
      <c r="R167" s="3"/>
      <c r="S167" s="321"/>
      <c r="T167" s="3"/>
      <c r="U167" s="223">
        <f t="shared" ca="1" si="7"/>
        <v>0</v>
      </c>
      <c r="V167" s="3"/>
      <c r="W167" s="3"/>
      <c r="X167" s="3"/>
      <c r="Y167" s="3"/>
      <c r="Z167" s="3"/>
      <c r="AA167" s="75">
        <f t="shared" ca="1" si="8"/>
        <v>0</v>
      </c>
      <c r="AB167" s="3"/>
      <c r="AC167" s="3"/>
      <c r="AD167" s="3"/>
      <c r="AE167" s="3"/>
      <c r="AF167" s="75">
        <f ca="1">ЦветЯчейки</f>
        <v>0</v>
      </c>
      <c r="AG167" s="3"/>
      <c r="AH167" s="3"/>
    </row>
    <row r="168" spans="1:34" x14ac:dyDescent="0.25">
      <c r="K168" s="243"/>
      <c r="L168" s="243"/>
      <c r="M168" s="243"/>
      <c r="N168" s="242"/>
      <c r="O168" s="242"/>
      <c r="P168" s="243"/>
      <c r="Q168" s="242"/>
      <c r="R168" s="243"/>
      <c r="S168" s="322"/>
      <c r="T168" s="242"/>
      <c r="U168" s="242"/>
      <c r="V168" s="243"/>
      <c r="W168" s="243"/>
      <c r="X168" s="243"/>
      <c r="Y168" s="243"/>
      <c r="Z168" s="242"/>
      <c r="AA168" s="242"/>
      <c r="AB168" s="243"/>
      <c r="AC168" s="243"/>
      <c r="AD168" s="243"/>
      <c r="AE168" s="243"/>
      <c r="AF168" s="243"/>
    </row>
    <row r="169" spans="1:34" x14ac:dyDescent="0.25">
      <c r="J169" s="82"/>
      <c r="K169" s="243"/>
      <c r="L169" s="243"/>
      <c r="M169" s="243"/>
      <c r="N169" s="242"/>
      <c r="O169" s="242"/>
      <c r="P169" s="243"/>
      <c r="Q169" s="243"/>
      <c r="R169" s="243"/>
      <c r="S169" s="322"/>
      <c r="T169" s="242"/>
      <c r="U169" s="242"/>
      <c r="V169" s="243"/>
      <c r="W169" s="243"/>
      <c r="X169" s="243"/>
      <c r="Y169" s="243"/>
      <c r="Z169" s="242"/>
      <c r="AA169" s="242"/>
      <c r="AB169" s="243"/>
      <c r="AC169" s="243"/>
      <c r="AD169" s="243"/>
      <c r="AE169" s="242"/>
      <c r="AF169" s="242"/>
    </row>
    <row r="170" spans="1:34" x14ac:dyDescent="0.25">
      <c r="A170" s="9"/>
      <c r="B170" s="166" t="s">
        <v>55</v>
      </c>
      <c r="K170" s="243"/>
      <c r="L170" s="243"/>
      <c r="M170" s="243"/>
      <c r="N170" s="224">
        <f>N92+N58+N59+N121+N119+N105+N30+N7+N87+N118+N84+N41+N29+N150+N27+N148+N107+N78+N16+N108+N36</f>
        <v>204819</v>
      </c>
      <c r="O170" s="224"/>
      <c r="P170" s="243"/>
      <c r="Q170" s="243"/>
      <c r="R170" s="243"/>
      <c r="S170" s="322"/>
      <c r="T170" s="224">
        <f>T162+T33+T164+T136+T118+T105+T81+T67+T59+T19+T119+T79+T34+T20+T94+T55+T87+T109+T107+T100+T89+T66+T65+T32+T30+T95+T88+T69+T44+T40+T29+T93+Z87+T139+T128+T127+T125+T77+T41+T11+T8+T149+T148+T116+T115+T106+T90+T86+T46+T24</f>
        <v>529419</v>
      </c>
      <c r="U170" s="224"/>
      <c r="V170" s="243"/>
      <c r="W170" s="243"/>
      <c r="X170" s="243"/>
      <c r="Y170" s="243"/>
      <c r="Z170" s="243"/>
      <c r="AA170" s="243"/>
      <c r="AB170" s="243"/>
      <c r="AC170" s="243"/>
      <c r="AD170" s="243"/>
      <c r="AE170" s="243"/>
      <c r="AF170" s="243"/>
    </row>
    <row r="171" spans="1:34" x14ac:dyDescent="0.25">
      <c r="A171" s="7"/>
      <c r="B171" s="166" t="s">
        <v>56</v>
      </c>
      <c r="F171" s="203">
        <f ca="1">N173+T173+Z173</f>
        <v>503338</v>
      </c>
      <c r="H171" t="s">
        <v>695</v>
      </c>
      <c r="J171" s="198">
        <v>38100</v>
      </c>
      <c r="K171" s="243"/>
      <c r="L171" s="243"/>
      <c r="M171" s="243"/>
      <c r="N171" s="198">
        <f>N21+N73+N22+N45+N104+N154+N18+N99+N63+N33+N71+N14+N82+N77+N31+N19+N17+N102+N164+N109+N28+N34+N15+N8+N152+N72+N70+N55+N53+N51+N44+N43+N40+N5+N24+N13+N65+N61+N46+N39+N37+N149+N133+N100+N88+N69+N57+N50+N49+N32+N10+N66+N25+N79+N20+N76+N64+N54+N91+N52+N138+N139+N117+N157+N110+N140+N85+N23+N89+N68+N35+N47+N116+N115+N95+N67+N9+N93+N127+N11+N129+N123+N120+N81+N96+N90+N86</f>
        <v>658700</v>
      </c>
      <c r="O171" s="198"/>
      <c r="P171" s="243"/>
      <c r="Q171" s="243"/>
      <c r="R171" s="243"/>
      <c r="S171" s="322"/>
      <c r="T171" s="198">
        <f>T21+T18+T157+T156+T14+T17+T23+T22+T74+T35+T13+T98+T117+T134+T71+T31+T25+T7+T54+T9+T15+T142+T64+T53+T52+T126+T152+T96+T130+T108+T91+T43+T150+T158+T82</f>
        <v>206400</v>
      </c>
      <c r="U171" s="198"/>
      <c r="V171" s="243"/>
      <c r="W171" s="243"/>
      <c r="X171" s="243"/>
      <c r="Y171" s="243"/>
      <c r="Z171" s="243"/>
      <c r="AA171" s="243"/>
      <c r="AB171" s="243"/>
      <c r="AC171" s="243"/>
      <c r="AD171" s="243"/>
      <c r="AE171" s="243"/>
      <c r="AF171" s="243"/>
    </row>
    <row r="172" spans="1:34" x14ac:dyDescent="0.25">
      <c r="A172" s="197"/>
      <c r="B172" s="166" t="s">
        <v>508</v>
      </c>
      <c r="I172" s="237"/>
      <c r="K172" s="243"/>
      <c r="L172" s="243"/>
      <c r="M172" s="243"/>
      <c r="N172" s="251">
        <f ca="1">SUMIF(O3:O167,22,N3:N167)</f>
        <v>0</v>
      </c>
      <c r="O172" s="243"/>
      <c r="P172" s="243"/>
      <c r="Q172" s="243"/>
      <c r="R172" s="243"/>
      <c r="S172" s="322"/>
      <c r="T172" s="251">
        <f ca="1">SUMIF(U3:U167,22,T3:T167)</f>
        <v>0</v>
      </c>
      <c r="U172" s="243"/>
      <c r="V172" s="243"/>
      <c r="W172" s="243"/>
      <c r="X172" s="243"/>
      <c r="Y172" s="243"/>
      <c r="Z172" s="251">
        <f ca="1">SUMIF(AA3:AA167,22,Z3:Z167)</f>
        <v>0</v>
      </c>
      <c r="AA172" s="243"/>
      <c r="AB172" s="243"/>
      <c r="AC172" s="243"/>
      <c r="AD172" s="243"/>
      <c r="AE172" s="251">
        <f ca="1">SUMIF(AF3:AF167,22,AE3:AE167)</f>
        <v>0</v>
      </c>
      <c r="AF172" s="243"/>
    </row>
    <row r="173" spans="1:34" x14ac:dyDescent="0.25">
      <c r="A173" s="219"/>
      <c r="B173" s="166" t="s">
        <v>704</v>
      </c>
      <c r="H173" t="s">
        <v>696</v>
      </c>
      <c r="J173" s="198">
        <v>546550</v>
      </c>
      <c r="K173" s="243"/>
      <c r="L173" s="243"/>
      <c r="M173" s="249"/>
      <c r="N173" s="224">
        <f ca="1">SUMIF(O3:O167,3,N3:N167)</f>
        <v>34400</v>
      </c>
      <c r="O173" s="242"/>
      <c r="P173" s="243"/>
      <c r="Q173" s="243"/>
      <c r="R173" s="243"/>
      <c r="S173" s="322"/>
      <c r="T173" s="224">
        <f ca="1">SUMIF(U3:U167,3,T3:T167)</f>
        <v>168369</v>
      </c>
      <c r="U173" s="224"/>
      <c r="V173" s="243"/>
      <c r="W173" s="243"/>
      <c r="X173" s="243"/>
      <c r="Y173" s="243"/>
      <c r="Z173" s="224">
        <f ca="1">SUMIF(AA3:AA167,3,Z3:Z167)</f>
        <v>300569</v>
      </c>
      <c r="AA173" s="243"/>
      <c r="AB173" s="243"/>
      <c r="AD173" s="243"/>
      <c r="AE173" s="224">
        <f ca="1">SUMIF(AF3:AF167,3,AE3:AE167)</f>
        <v>7350</v>
      </c>
    </row>
    <row r="174" spans="1:34" x14ac:dyDescent="0.25">
      <c r="I174" s="82"/>
      <c r="K174" s="243"/>
      <c r="L174" s="243"/>
      <c r="M174" s="243"/>
      <c r="N174" s="198">
        <f ca="1">SUMIF(O3:O167,43,N3:N167)</f>
        <v>829119</v>
      </c>
      <c r="O174" s="243"/>
      <c r="P174" s="243"/>
      <c r="Q174" s="243"/>
      <c r="R174" s="243"/>
      <c r="S174" s="322"/>
      <c r="T174" s="198">
        <f ca="1">SUMIF(U3:U167,43,T3:T167)</f>
        <v>761150</v>
      </c>
      <c r="U174" s="198"/>
      <c r="V174" s="243"/>
      <c r="W174" s="243"/>
      <c r="X174" s="243"/>
      <c r="Y174" s="243"/>
      <c r="Z174" s="198">
        <f ca="1">SUMIF(AA3:AA167,43,Z3:Z167)</f>
        <v>569750</v>
      </c>
      <c r="AA174" s="243"/>
      <c r="AB174" s="243"/>
      <c r="AD174" s="243"/>
      <c r="AE174" s="198">
        <f>SUMIF(AG3:AG167,43,AF3:AF167)</f>
        <v>0</v>
      </c>
    </row>
    <row r="175" spans="1:34" x14ac:dyDescent="0.25">
      <c r="H175" s="329" t="s">
        <v>748</v>
      </c>
      <c r="I175" s="330" t="s">
        <v>826</v>
      </c>
      <c r="J175" s="331">
        <f>N171+T171-J173-J171</f>
        <v>280450</v>
      </c>
      <c r="K175" s="243"/>
      <c r="L175" s="243"/>
      <c r="M175" s="243"/>
      <c r="N175" s="243"/>
      <c r="O175" s="243"/>
      <c r="P175" s="243"/>
      <c r="Q175" s="243"/>
      <c r="R175" s="243"/>
      <c r="S175" s="322"/>
      <c r="T175" s="243"/>
      <c r="U175" s="243"/>
      <c r="V175" s="243"/>
      <c r="W175" s="243"/>
      <c r="X175" s="243"/>
      <c r="Y175" s="243"/>
      <c r="Z175" s="243"/>
      <c r="AA175" s="243"/>
      <c r="AB175" s="243"/>
      <c r="AD175" s="243"/>
      <c r="AE175" s="243"/>
    </row>
    <row r="176" spans="1:34" x14ac:dyDescent="0.25">
      <c r="I176" s="287"/>
      <c r="K176" s="243"/>
      <c r="L176" s="243"/>
      <c r="M176" s="249"/>
      <c r="N176" s="285" t="s">
        <v>825</v>
      </c>
      <c r="O176" s="286"/>
      <c r="P176" s="285"/>
      <c r="Q176" s="243"/>
      <c r="R176" s="249"/>
      <c r="S176" s="322"/>
      <c r="T176" s="285" t="s">
        <v>825</v>
      </c>
      <c r="U176" s="286"/>
      <c r="V176" s="285"/>
      <c r="W176" s="243"/>
      <c r="X176" s="243"/>
      <c r="Y176" s="243"/>
      <c r="Z176" s="285" t="s">
        <v>825</v>
      </c>
      <c r="AA176" s="285"/>
      <c r="AB176" s="285"/>
      <c r="AD176" s="243"/>
      <c r="AE176" s="285" t="s">
        <v>825</v>
      </c>
      <c r="AF176" s="285"/>
      <c r="AG176" s="285"/>
      <c r="AH176" s="285"/>
    </row>
    <row r="177" spans="8:32" x14ac:dyDescent="0.25">
      <c r="H177" t="s">
        <v>748</v>
      </c>
      <c r="I177" s="287" t="s">
        <v>827</v>
      </c>
      <c r="J177" s="198">
        <v>848519</v>
      </c>
      <c r="K177" s="243"/>
      <c r="L177" s="243"/>
      <c r="M177" s="243"/>
      <c r="N177" s="243"/>
      <c r="O177" s="243"/>
      <c r="P177" s="243"/>
      <c r="Q177" s="243"/>
      <c r="R177" s="243"/>
      <c r="S177" s="322"/>
      <c r="T177" s="243"/>
      <c r="U177" s="243"/>
      <c r="V177" s="243"/>
      <c r="W177" s="243"/>
      <c r="X177" s="243"/>
      <c r="Y177" s="243"/>
      <c r="Z177" s="243"/>
      <c r="AA177" s="243"/>
      <c r="AB177" s="243"/>
      <c r="AC177" s="243"/>
      <c r="AD177" s="243"/>
      <c r="AE177" s="243"/>
      <c r="AF177" s="243"/>
    </row>
    <row r="178" spans="8:32" x14ac:dyDescent="0.25">
      <c r="K178" s="243"/>
      <c r="L178" s="243"/>
      <c r="M178" s="249"/>
      <c r="N178" s="242"/>
      <c r="O178" s="242"/>
      <c r="P178" s="243"/>
      <c r="Q178" s="243"/>
      <c r="R178" s="243"/>
      <c r="S178" s="322"/>
      <c r="T178" s="242"/>
      <c r="U178" s="242"/>
      <c r="V178" s="243"/>
      <c r="W178" s="243"/>
      <c r="X178" s="243"/>
      <c r="Y178" s="243"/>
      <c r="Z178" s="243"/>
      <c r="AA178" s="243"/>
      <c r="AB178" s="243"/>
      <c r="AC178" s="243"/>
      <c r="AD178" s="243"/>
      <c r="AE178" s="243"/>
      <c r="AF178" s="243"/>
    </row>
    <row r="179" spans="8:32" x14ac:dyDescent="0.25">
      <c r="H179" t="s">
        <v>1120</v>
      </c>
      <c r="J179" s="198">
        <f ca="1">N174+T174+Z174-J171-J173-J177</f>
        <v>726850</v>
      </c>
      <c r="K179" s="243"/>
      <c r="L179" s="243"/>
      <c r="M179" s="243"/>
      <c r="N179" s="243"/>
      <c r="O179" s="243"/>
      <c r="P179" s="243"/>
      <c r="Q179" s="243"/>
      <c r="R179" s="243"/>
      <c r="S179" s="322"/>
      <c r="T179" s="243"/>
      <c r="U179" s="243"/>
      <c r="V179" s="243"/>
      <c r="W179" s="243"/>
      <c r="X179" s="243"/>
      <c r="Y179" s="243"/>
      <c r="Z179" s="243"/>
      <c r="AA179" s="243"/>
      <c r="AB179" s="243"/>
      <c r="AC179" s="243"/>
      <c r="AD179" s="243"/>
      <c r="AE179" s="243"/>
      <c r="AF179" s="243"/>
    </row>
    <row r="180" spans="8:32" x14ac:dyDescent="0.25">
      <c r="K180" s="243"/>
      <c r="L180" s="243"/>
      <c r="M180" s="243"/>
      <c r="N180" s="243"/>
      <c r="O180" s="243"/>
      <c r="P180" s="243"/>
      <c r="Q180" s="243"/>
      <c r="R180" s="243"/>
      <c r="S180" s="322"/>
      <c r="T180" s="243"/>
      <c r="U180" s="243"/>
      <c r="V180" s="243"/>
      <c r="W180" s="243"/>
      <c r="X180" s="243"/>
      <c r="Y180" s="243"/>
      <c r="Z180" s="243"/>
      <c r="AA180" s="243"/>
      <c r="AB180" s="243"/>
      <c r="AC180" s="243"/>
      <c r="AD180" s="243"/>
      <c r="AE180" s="243"/>
      <c r="AF180" s="243"/>
    </row>
    <row r="181" spans="8:32" x14ac:dyDescent="0.25">
      <c r="K181" s="243"/>
      <c r="L181" s="243"/>
      <c r="M181" s="243"/>
      <c r="N181" s="242"/>
      <c r="O181" s="242"/>
      <c r="P181" s="243"/>
      <c r="Q181" s="243"/>
      <c r="R181" s="243"/>
      <c r="S181" s="322"/>
      <c r="T181" s="242"/>
      <c r="U181" s="242"/>
      <c r="V181" s="243"/>
      <c r="W181" s="243"/>
      <c r="X181" s="243"/>
      <c r="Y181" s="243"/>
      <c r="Z181" s="242"/>
      <c r="AA181" s="242"/>
      <c r="AB181" s="243"/>
      <c r="AC181" s="242"/>
      <c r="AD181" s="243"/>
      <c r="AE181" s="243"/>
      <c r="AF181" s="243"/>
    </row>
    <row r="182" spans="8:32" x14ac:dyDescent="0.25">
      <c r="J182" s="242"/>
      <c r="K182" s="243"/>
      <c r="L182" s="243"/>
      <c r="M182" s="243"/>
      <c r="N182" s="243"/>
      <c r="O182" s="243"/>
      <c r="P182" s="243"/>
      <c r="Q182" s="243"/>
      <c r="R182" s="243"/>
      <c r="S182" s="322"/>
      <c r="T182" s="243"/>
      <c r="U182" s="243"/>
      <c r="V182" s="243"/>
      <c r="W182" s="243"/>
      <c r="X182" s="243"/>
      <c r="Y182" s="243"/>
      <c r="Z182" s="243"/>
      <c r="AA182" s="243"/>
      <c r="AB182" s="243"/>
      <c r="AC182" s="243"/>
      <c r="AD182" s="243"/>
      <c r="AE182" s="243"/>
      <c r="AF182" s="243"/>
    </row>
    <row r="183" spans="8:32" x14ac:dyDescent="0.25">
      <c r="K183" s="243"/>
      <c r="L183" s="243"/>
      <c r="M183" s="243"/>
      <c r="N183" s="243"/>
      <c r="O183" s="243"/>
      <c r="P183" s="243"/>
      <c r="Q183" s="243"/>
      <c r="R183" s="243"/>
      <c r="S183" s="322"/>
      <c r="T183" s="243"/>
      <c r="U183" s="243"/>
      <c r="V183" s="243"/>
      <c r="W183" s="243"/>
      <c r="X183" s="243"/>
      <c r="Y183" s="243"/>
      <c r="Z183" s="243"/>
      <c r="AA183" s="243"/>
      <c r="AB183" s="243"/>
      <c r="AC183" s="243"/>
      <c r="AD183" s="243"/>
      <c r="AE183" s="243"/>
      <c r="AF183" s="243"/>
    </row>
  </sheetData>
  <mergeCells count="47">
    <mergeCell ref="G1:G2"/>
    <mergeCell ref="A1:A2"/>
    <mergeCell ref="B1:B2"/>
    <mergeCell ref="C1:C2"/>
    <mergeCell ref="D1:D2"/>
    <mergeCell ref="F1:F2"/>
    <mergeCell ref="E1:E2"/>
    <mergeCell ref="AB1:AE1"/>
    <mergeCell ref="A159:A161"/>
    <mergeCell ref="B159:B161"/>
    <mergeCell ref="C159:C161"/>
    <mergeCell ref="D159:D161"/>
    <mergeCell ref="F159:F161"/>
    <mergeCell ref="G159:G161"/>
    <mergeCell ref="H159:H161"/>
    <mergeCell ref="I159:I161"/>
    <mergeCell ref="J159:J161"/>
    <mergeCell ref="H1:H2"/>
    <mergeCell ref="I1:I2"/>
    <mergeCell ref="J1:J2"/>
    <mergeCell ref="K1:N1"/>
    <mergeCell ref="P1:T1"/>
    <mergeCell ref="V1:Z1"/>
    <mergeCell ref="I162:I164"/>
    <mergeCell ref="J162:J164"/>
    <mergeCell ref="A162:A164"/>
    <mergeCell ref="B162:B164"/>
    <mergeCell ref="C162:C164"/>
    <mergeCell ref="D162:D164"/>
    <mergeCell ref="F162:F164"/>
    <mergeCell ref="G162:G164"/>
    <mergeCell ref="H162:H164"/>
    <mergeCell ref="A156:A158"/>
    <mergeCell ref="H156:H158"/>
    <mergeCell ref="I156:I158"/>
    <mergeCell ref="J156:J158"/>
    <mergeCell ref="B156:B158"/>
    <mergeCell ref="C156:C158"/>
    <mergeCell ref="D156:D158"/>
    <mergeCell ref="F156:F158"/>
    <mergeCell ref="G156:G158"/>
    <mergeCell ref="K159:K161"/>
    <mergeCell ref="L159:L161"/>
    <mergeCell ref="M159:M161"/>
    <mergeCell ref="K156:K158"/>
    <mergeCell ref="L156:L158"/>
    <mergeCell ref="M156:M158"/>
  </mergeCells>
  <pageMargins left="0.7" right="0.7" top="0.75" bottom="0.75" header="0.3" footer="0.3"/>
  <pageSetup paperSize="9" scale="78" orientation="landscape" horizontalDpi="300" verticalDpi="300" r:id="rId1"/>
  <colBreaks count="1" manualBreakCount="1">
    <brk id="7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H183"/>
  <sheetViews>
    <sheetView tabSelected="1" zoomScale="85" zoomScaleNormal="85" workbookViewId="0">
      <pane xSplit="10" ySplit="2" topLeftCell="K103" activePane="bottomRight" state="frozen"/>
      <selection pane="topRight" activeCell="J1" sqref="J1"/>
      <selection pane="bottomLeft" activeCell="A3" sqref="A3"/>
      <selection pane="bottomRight" activeCell="N174" sqref="N174"/>
    </sheetView>
  </sheetViews>
  <sheetFormatPr defaultRowHeight="15" x14ac:dyDescent="0.25"/>
  <cols>
    <col min="1" max="1" width="6" customWidth="1"/>
    <col min="2" max="2" width="35.5703125" style="166" customWidth="1"/>
    <col min="3" max="3" width="39.140625" customWidth="1"/>
    <col min="4" max="4" width="25.7109375" style="166" customWidth="1"/>
    <col min="5" max="5" width="12" style="304" customWidth="1"/>
    <col min="6" max="6" width="14.140625" customWidth="1"/>
    <col min="7" max="7" width="15.5703125" customWidth="1"/>
    <col min="8" max="8" width="8.28515625" customWidth="1"/>
    <col min="9" max="9" width="8.42578125" customWidth="1"/>
    <col min="10" max="10" width="11.28515625" customWidth="1"/>
    <col min="12" max="12" width="8" customWidth="1"/>
    <col min="13" max="13" width="8.140625" customWidth="1"/>
    <col min="14" max="14" width="11" customWidth="1"/>
    <col min="15" max="15" width="2.140625" customWidth="1"/>
    <col min="18" max="18" width="10.28515625" bestFit="1" customWidth="1"/>
    <col min="19" max="19" width="5.5703125" style="61" customWidth="1"/>
    <col min="20" max="20" width="10.28515625" bestFit="1" customWidth="1"/>
    <col min="21" max="21" width="3" customWidth="1"/>
    <col min="25" max="25" width="4.5703125" customWidth="1"/>
    <col min="26" max="26" width="10.28515625" bestFit="1" customWidth="1"/>
    <col min="27" max="27" width="2.42578125" customWidth="1"/>
    <col min="29" max="29" width="10.28515625" bestFit="1" customWidth="1"/>
    <col min="32" max="32" width="2.5703125" customWidth="1"/>
  </cols>
  <sheetData>
    <row r="1" spans="1:34" ht="29.25" customHeight="1" x14ac:dyDescent="0.25">
      <c r="A1" s="350" t="s">
        <v>124</v>
      </c>
      <c r="B1" s="352" t="s">
        <v>125</v>
      </c>
      <c r="C1" s="354" t="s">
        <v>126</v>
      </c>
      <c r="D1" s="356" t="s">
        <v>127</v>
      </c>
      <c r="E1" s="427" t="s">
        <v>828</v>
      </c>
      <c r="F1" s="356" t="s">
        <v>129</v>
      </c>
      <c r="G1" s="356" t="s">
        <v>128</v>
      </c>
      <c r="H1" s="356" t="s">
        <v>263</v>
      </c>
      <c r="I1" s="356" t="s">
        <v>261</v>
      </c>
      <c r="J1" s="358" t="s">
        <v>262</v>
      </c>
      <c r="K1" s="366" t="s">
        <v>426</v>
      </c>
      <c r="L1" s="366"/>
      <c r="M1" s="366"/>
      <c r="N1" s="366"/>
      <c r="O1" s="338"/>
      <c r="P1" s="367" t="s">
        <v>427</v>
      </c>
      <c r="Q1" s="367"/>
      <c r="R1" s="367"/>
      <c r="S1" s="367"/>
      <c r="T1" s="367"/>
      <c r="U1" s="339"/>
      <c r="V1" s="368" t="s">
        <v>428</v>
      </c>
      <c r="W1" s="368"/>
      <c r="X1" s="368"/>
      <c r="Y1" s="368"/>
      <c r="Z1" s="368"/>
      <c r="AA1" s="340"/>
      <c r="AB1" s="348" t="s">
        <v>429</v>
      </c>
      <c r="AC1" s="348"/>
      <c r="AD1" s="348"/>
      <c r="AE1" s="348"/>
      <c r="AF1" s="337"/>
      <c r="AG1" s="122">
        <v>43831</v>
      </c>
      <c r="AH1" s="122">
        <v>43862</v>
      </c>
    </row>
    <row r="2" spans="1:34" x14ac:dyDescent="0.25">
      <c r="A2" s="351"/>
      <c r="B2" s="353"/>
      <c r="C2" s="355"/>
      <c r="D2" s="357"/>
      <c r="E2" s="428"/>
      <c r="F2" s="357"/>
      <c r="G2" s="357"/>
      <c r="H2" s="357"/>
      <c r="I2" s="357"/>
      <c r="J2" s="359"/>
      <c r="K2" s="123" t="s">
        <v>414</v>
      </c>
      <c r="L2" s="124" t="s">
        <v>413</v>
      </c>
      <c r="M2" s="124" t="s">
        <v>415</v>
      </c>
      <c r="N2" s="124" t="s">
        <v>407</v>
      </c>
      <c r="O2" s="124"/>
      <c r="P2" s="123" t="s">
        <v>414</v>
      </c>
      <c r="Q2" s="124" t="s">
        <v>413</v>
      </c>
      <c r="R2" s="124" t="s">
        <v>415</v>
      </c>
      <c r="S2" s="317"/>
      <c r="T2" s="124" t="s">
        <v>407</v>
      </c>
      <c r="U2" s="124"/>
      <c r="V2" s="123" t="s">
        <v>414</v>
      </c>
      <c r="W2" s="124" t="s">
        <v>413</v>
      </c>
      <c r="X2" s="124" t="s">
        <v>415</v>
      </c>
      <c r="Y2" s="124"/>
      <c r="Z2" s="124" t="s">
        <v>407</v>
      </c>
      <c r="AA2" s="124"/>
      <c r="AB2" s="123" t="s">
        <v>414</v>
      </c>
      <c r="AC2" s="124" t="s">
        <v>413</v>
      </c>
      <c r="AD2" s="124" t="s">
        <v>415</v>
      </c>
      <c r="AE2" s="124" t="s">
        <v>407</v>
      </c>
      <c r="AF2" s="124"/>
      <c r="AG2" s="72"/>
      <c r="AH2" s="72"/>
    </row>
    <row r="3" spans="1:34" s="1" customFormat="1" ht="64.5" customHeight="1" x14ac:dyDescent="0.25">
      <c r="A3" s="182">
        <v>1</v>
      </c>
      <c r="B3" s="258" t="s">
        <v>657</v>
      </c>
      <c r="C3" s="40" t="s">
        <v>893</v>
      </c>
      <c r="D3" s="93" t="s">
        <v>705</v>
      </c>
      <c r="E3" s="290">
        <v>44286</v>
      </c>
      <c r="F3" s="5" t="s">
        <v>33</v>
      </c>
      <c r="G3" s="5">
        <v>2635221863</v>
      </c>
      <c r="H3" s="5"/>
      <c r="I3" s="79">
        <v>4</v>
      </c>
      <c r="J3" s="183"/>
      <c r="K3" s="222"/>
      <c r="L3" s="142"/>
      <c r="M3" s="75"/>
      <c r="N3" s="223"/>
      <c r="O3" s="284"/>
      <c r="P3" s="341"/>
      <c r="Q3" s="142"/>
      <c r="R3" s="142"/>
      <c r="S3" s="318"/>
      <c r="T3" s="223"/>
      <c r="U3" s="223"/>
      <c r="V3" s="341"/>
      <c r="W3" s="142"/>
      <c r="X3" s="75"/>
      <c r="Y3" s="75"/>
      <c r="Z3" s="223"/>
      <c r="AA3" s="75"/>
      <c r="AB3" s="75"/>
      <c r="AC3" s="75"/>
      <c r="AD3" s="75"/>
      <c r="AE3" s="75"/>
      <c r="AF3" s="75">
        <f ca="1">ЦветЯчейки</f>
        <v>0</v>
      </c>
      <c r="AG3" s="5"/>
      <c r="AH3" s="5"/>
    </row>
    <row r="4" spans="1:34" s="1" customFormat="1" ht="74.25" customHeight="1" x14ac:dyDescent="0.25">
      <c r="A4" s="182">
        <v>2</v>
      </c>
      <c r="B4" s="258" t="s">
        <v>697</v>
      </c>
      <c r="C4" s="40" t="s">
        <v>894</v>
      </c>
      <c r="D4" s="93" t="s">
        <v>705</v>
      </c>
      <c r="E4" s="290">
        <v>44286</v>
      </c>
      <c r="F4" s="5" t="s">
        <v>33</v>
      </c>
      <c r="G4" s="5"/>
      <c r="H4" s="5"/>
      <c r="I4" s="79">
        <v>3</v>
      </c>
      <c r="J4" s="183"/>
      <c r="K4" s="222"/>
      <c r="L4" s="142"/>
      <c r="M4" s="75"/>
      <c r="N4" s="223"/>
      <c r="O4" s="284"/>
      <c r="P4" s="341"/>
      <c r="Q4" s="142"/>
      <c r="R4" s="75"/>
      <c r="S4" s="319"/>
      <c r="T4" s="223"/>
      <c r="U4" s="223"/>
      <c r="V4" s="341"/>
      <c r="W4" s="142"/>
      <c r="X4" s="75"/>
      <c r="Y4" s="75"/>
      <c r="Z4" s="223"/>
      <c r="AA4" s="75"/>
      <c r="AB4" s="75"/>
      <c r="AC4" s="75"/>
      <c r="AD4" s="75"/>
      <c r="AE4" s="75"/>
      <c r="AF4" s="75">
        <f ca="1">ЦветЯчейки</f>
        <v>0</v>
      </c>
      <c r="AG4" s="5"/>
      <c r="AH4" s="5"/>
    </row>
    <row r="5" spans="1:34" s="1" customFormat="1" ht="75" x14ac:dyDescent="0.25">
      <c r="A5" s="182">
        <v>4</v>
      </c>
      <c r="B5" s="258" t="s">
        <v>658</v>
      </c>
      <c r="C5" s="40" t="s">
        <v>896</v>
      </c>
      <c r="D5" s="93" t="s">
        <v>705</v>
      </c>
      <c r="E5" s="290">
        <v>44286</v>
      </c>
      <c r="F5" s="5" t="s">
        <v>33</v>
      </c>
      <c r="G5" s="5">
        <v>2631017874</v>
      </c>
      <c r="H5" s="5"/>
      <c r="I5" s="79">
        <v>5</v>
      </c>
      <c r="J5" s="183"/>
      <c r="K5" s="177"/>
      <c r="L5" s="142"/>
      <c r="M5" s="142"/>
      <c r="N5" s="173"/>
      <c r="O5" s="284"/>
      <c r="P5" s="341"/>
      <c r="Q5" s="142"/>
      <c r="R5" s="142"/>
      <c r="S5" s="318"/>
      <c r="T5" s="173"/>
      <c r="U5" s="223"/>
      <c r="V5" s="341"/>
      <c r="W5" s="142"/>
      <c r="X5" s="142"/>
      <c r="Y5" s="142"/>
      <c r="Z5" s="223"/>
      <c r="AA5" s="75"/>
      <c r="AB5" s="177"/>
      <c r="AC5" s="75"/>
      <c r="AD5" s="75"/>
      <c r="AE5" s="75"/>
      <c r="AF5" s="75">
        <f ca="1">ЦветЯчейки</f>
        <v>0</v>
      </c>
      <c r="AG5" s="75"/>
      <c r="AH5" s="5"/>
    </row>
    <row r="6" spans="1:34" s="1" customFormat="1" ht="45" x14ac:dyDescent="0.25">
      <c r="A6" s="182">
        <v>3</v>
      </c>
      <c r="B6" s="155" t="s">
        <v>2</v>
      </c>
      <c r="C6" s="140" t="s">
        <v>895</v>
      </c>
      <c r="D6" s="221" t="s">
        <v>708</v>
      </c>
      <c r="E6" s="289">
        <v>44570</v>
      </c>
      <c r="F6" s="5" t="s">
        <v>33</v>
      </c>
      <c r="G6" s="5"/>
      <c r="H6" s="5"/>
      <c r="I6" s="78">
        <v>1</v>
      </c>
      <c r="J6" s="183"/>
      <c r="K6" s="177"/>
      <c r="L6" s="142"/>
      <c r="M6" s="142"/>
      <c r="N6" s="342"/>
      <c r="O6" s="284"/>
      <c r="P6" s="341"/>
      <c r="Q6" s="142"/>
      <c r="R6" s="142"/>
      <c r="S6" s="318"/>
      <c r="T6" s="173"/>
      <c r="U6" s="223"/>
      <c r="V6" s="142"/>
      <c r="W6" s="142"/>
      <c r="X6" s="142"/>
      <c r="Y6" s="142"/>
      <c r="Z6" s="173"/>
      <c r="AA6" s="75"/>
      <c r="AB6" s="75"/>
      <c r="AC6" s="75"/>
      <c r="AD6" s="75"/>
      <c r="AE6" s="75"/>
      <c r="AF6" s="75">
        <f ca="1">ЦветЯчейки</f>
        <v>0</v>
      </c>
      <c r="AG6" s="5"/>
      <c r="AH6" s="5"/>
    </row>
    <row r="7" spans="1:34" s="1" customFormat="1" ht="45" x14ac:dyDescent="0.25">
      <c r="A7" s="182">
        <v>5</v>
      </c>
      <c r="B7" s="155" t="s">
        <v>147</v>
      </c>
      <c r="C7" s="140" t="s">
        <v>897</v>
      </c>
      <c r="D7" s="93" t="s">
        <v>829</v>
      </c>
      <c r="E7" s="290">
        <v>44561</v>
      </c>
      <c r="F7" s="5" t="s">
        <v>33</v>
      </c>
      <c r="G7" s="5">
        <v>2634049360</v>
      </c>
      <c r="H7" s="5"/>
      <c r="I7" s="75">
        <v>15</v>
      </c>
      <c r="J7" s="183"/>
      <c r="K7" s="177"/>
      <c r="L7" s="142"/>
      <c r="M7" s="142"/>
      <c r="N7" s="223"/>
      <c r="O7" s="284"/>
      <c r="P7" s="341"/>
      <c r="Q7" s="142"/>
      <c r="R7" s="142"/>
      <c r="S7" s="318"/>
      <c r="T7" s="173"/>
      <c r="U7" s="223"/>
      <c r="V7" s="341"/>
      <c r="W7" s="142"/>
      <c r="X7" s="142"/>
      <c r="Y7" s="318"/>
      <c r="Z7" s="173"/>
      <c r="AA7" s="75"/>
      <c r="AB7" s="142"/>
      <c r="AC7" s="75"/>
      <c r="AD7" s="75"/>
      <c r="AE7" s="75"/>
      <c r="AF7" s="75">
        <f ca="1">ЦветЯчейки</f>
        <v>0</v>
      </c>
      <c r="AG7" s="5"/>
      <c r="AH7" s="5"/>
    </row>
    <row r="8" spans="1:34" s="1" customFormat="1" ht="45" x14ac:dyDescent="0.25">
      <c r="A8" s="182">
        <v>6</v>
      </c>
      <c r="B8" s="155" t="s">
        <v>19</v>
      </c>
      <c r="C8" s="140" t="s">
        <v>898</v>
      </c>
      <c r="D8" s="221" t="s">
        <v>709</v>
      </c>
      <c r="E8" s="289">
        <v>44570</v>
      </c>
      <c r="F8" s="5" t="s">
        <v>33</v>
      </c>
      <c r="G8" s="5">
        <v>2631027142</v>
      </c>
      <c r="H8" s="5"/>
      <c r="I8" s="78">
        <v>1</v>
      </c>
      <c r="J8" s="183"/>
      <c r="K8" s="177"/>
      <c r="L8" s="142"/>
      <c r="M8" s="142"/>
      <c r="N8" s="342"/>
      <c r="O8" s="284"/>
      <c r="P8" s="341"/>
      <c r="Q8" s="142"/>
      <c r="R8" s="142"/>
      <c r="S8" s="318"/>
      <c r="T8" s="173"/>
      <c r="U8" s="223"/>
      <c r="V8" s="142"/>
      <c r="W8" s="142"/>
      <c r="X8" s="142"/>
      <c r="Y8" s="142"/>
      <c r="Z8" s="173"/>
      <c r="AA8" s="75"/>
      <c r="AB8" s="75"/>
      <c r="AC8" s="75"/>
      <c r="AD8" s="75"/>
      <c r="AE8" s="75"/>
      <c r="AF8" s="75">
        <f ca="1">ЦветЯчейки</f>
        <v>0</v>
      </c>
      <c r="AG8" s="5"/>
      <c r="AH8" s="5"/>
    </row>
    <row r="9" spans="1:34" s="1" customFormat="1" ht="60" x14ac:dyDescent="0.25">
      <c r="A9" s="182">
        <v>7</v>
      </c>
      <c r="B9" s="156" t="s">
        <v>293</v>
      </c>
      <c r="C9" s="140" t="s">
        <v>899</v>
      </c>
      <c r="D9" s="101"/>
      <c r="E9" s="290"/>
      <c r="F9" s="75"/>
      <c r="G9" s="5">
        <v>2631028107</v>
      </c>
      <c r="H9" s="5"/>
      <c r="I9" s="5">
        <v>1</v>
      </c>
      <c r="J9" s="183"/>
      <c r="K9" s="177"/>
      <c r="L9" s="142"/>
      <c r="M9" s="142"/>
      <c r="N9" s="173"/>
      <c r="O9" s="284"/>
      <c r="P9" s="343"/>
      <c r="Q9" s="142"/>
      <c r="R9" s="142"/>
      <c r="S9" s="318"/>
      <c r="T9" s="173"/>
      <c r="U9" s="223"/>
      <c r="V9" s="341"/>
      <c r="W9" s="142"/>
      <c r="X9" s="142"/>
      <c r="Y9" s="318"/>
      <c r="Z9" s="173"/>
      <c r="AA9" s="75"/>
      <c r="AB9" s="142"/>
      <c r="AC9" s="75"/>
      <c r="AD9" s="75"/>
      <c r="AE9" s="75"/>
      <c r="AF9" s="75">
        <f ca="1">ЦветЯчейки</f>
        <v>0</v>
      </c>
      <c r="AG9" s="5"/>
      <c r="AH9" s="5"/>
    </row>
    <row r="10" spans="1:34" s="1" customFormat="1" ht="87.75" customHeight="1" x14ac:dyDescent="0.25">
      <c r="A10" s="182">
        <v>8</v>
      </c>
      <c r="B10" s="155" t="s">
        <v>347</v>
      </c>
      <c r="C10" s="140" t="s">
        <v>900</v>
      </c>
      <c r="D10" s="101"/>
      <c r="E10" s="290"/>
      <c r="F10" s="75"/>
      <c r="G10" s="5">
        <v>2631030603</v>
      </c>
      <c r="H10" s="5"/>
      <c r="I10" s="5">
        <v>3</v>
      </c>
      <c r="J10" s="183"/>
      <c r="K10" s="177"/>
      <c r="L10" s="142"/>
      <c r="M10" s="142"/>
      <c r="N10" s="173"/>
      <c r="O10" s="284"/>
      <c r="P10" s="341"/>
      <c r="Q10" s="142"/>
      <c r="R10" s="142"/>
      <c r="S10" s="318"/>
      <c r="T10" s="173"/>
      <c r="U10" s="223"/>
      <c r="V10" s="341"/>
      <c r="W10" s="142"/>
      <c r="X10" s="142"/>
      <c r="Y10" s="318"/>
      <c r="Z10" s="173"/>
      <c r="AA10" s="75"/>
      <c r="AB10" s="177"/>
      <c r="AC10" s="146"/>
      <c r="AD10" s="146"/>
      <c r="AE10" s="146"/>
      <c r="AF10" s="75">
        <f ca="1">ЦветЯчейки</f>
        <v>0</v>
      </c>
      <c r="AG10" s="5"/>
      <c r="AH10" s="5"/>
    </row>
    <row r="11" spans="1:34" s="1" customFormat="1" ht="45" x14ac:dyDescent="0.25">
      <c r="A11" s="182">
        <v>9</v>
      </c>
      <c r="B11" s="155" t="s">
        <v>28</v>
      </c>
      <c r="C11" s="140" t="s">
        <v>901</v>
      </c>
      <c r="D11" s="221" t="s">
        <v>674</v>
      </c>
      <c r="E11" s="289">
        <v>44561</v>
      </c>
      <c r="F11" s="5" t="s">
        <v>33</v>
      </c>
      <c r="G11" s="5">
        <v>2631027880</v>
      </c>
      <c r="H11" s="5"/>
      <c r="I11" s="78">
        <v>2</v>
      </c>
      <c r="J11" s="183"/>
      <c r="K11" s="177"/>
      <c r="L11" s="142"/>
      <c r="M11" s="142"/>
      <c r="N11" s="173"/>
      <c r="O11" s="284"/>
      <c r="P11" s="341"/>
      <c r="Q11" s="142"/>
      <c r="R11" s="142"/>
      <c r="S11" s="318"/>
      <c r="T11" s="173"/>
      <c r="U11" s="223"/>
      <c r="V11" s="177"/>
      <c r="W11" s="142"/>
      <c r="X11" s="142"/>
      <c r="Y11" s="142"/>
      <c r="Z11" s="173"/>
      <c r="AA11" s="75"/>
      <c r="AB11" s="75"/>
      <c r="AC11" s="75"/>
      <c r="AD11" s="75"/>
      <c r="AE11" s="75"/>
      <c r="AF11" s="75">
        <f ca="1">ЦветЯчейки</f>
        <v>0</v>
      </c>
      <c r="AG11" s="5"/>
      <c r="AH11" s="5"/>
    </row>
    <row r="12" spans="1:34" s="1" customFormat="1" x14ac:dyDescent="0.25">
      <c r="A12" s="182">
        <v>10</v>
      </c>
      <c r="B12" s="155" t="s">
        <v>130</v>
      </c>
      <c r="C12" s="141"/>
      <c r="D12" s="167"/>
      <c r="E12" s="291"/>
      <c r="F12" s="5"/>
      <c r="G12" s="5"/>
      <c r="H12" s="5"/>
      <c r="I12" s="5">
        <v>7</v>
      </c>
      <c r="J12" s="183"/>
      <c r="K12" s="177"/>
      <c r="L12" s="142"/>
      <c r="M12" s="142"/>
      <c r="N12" s="173"/>
      <c r="O12" s="284"/>
      <c r="P12" s="142"/>
      <c r="Q12" s="142"/>
      <c r="R12" s="142"/>
      <c r="S12" s="318"/>
      <c r="T12" s="142"/>
      <c r="U12" s="223"/>
      <c r="V12" s="142"/>
      <c r="W12" s="142"/>
      <c r="X12" s="142"/>
      <c r="Y12" s="142"/>
      <c r="Z12" s="142"/>
      <c r="AA12" s="75"/>
      <c r="AB12" s="142"/>
      <c r="AC12" s="75"/>
      <c r="AD12" s="75"/>
      <c r="AE12" s="75"/>
      <c r="AF12" s="75">
        <f ca="1">ЦветЯчейки</f>
        <v>0</v>
      </c>
      <c r="AG12" s="5"/>
      <c r="AH12" s="5"/>
    </row>
    <row r="13" spans="1:34" s="1" customFormat="1" ht="45" x14ac:dyDescent="0.25">
      <c r="A13" s="182">
        <v>11</v>
      </c>
      <c r="B13" s="155" t="s">
        <v>24</v>
      </c>
      <c r="C13" s="140" t="s">
        <v>902</v>
      </c>
      <c r="D13" s="221" t="s">
        <v>712</v>
      </c>
      <c r="E13" s="289">
        <v>44570</v>
      </c>
      <c r="F13" s="5" t="s">
        <v>33</v>
      </c>
      <c r="G13" s="5">
        <v>2631009785</v>
      </c>
      <c r="H13" s="5"/>
      <c r="I13" s="78">
        <v>2</v>
      </c>
      <c r="J13" s="183"/>
      <c r="K13" s="177"/>
      <c r="L13" s="142"/>
      <c r="M13" s="142"/>
      <c r="N13" s="173"/>
      <c r="O13" s="284"/>
      <c r="P13" s="343"/>
      <c r="Q13" s="142"/>
      <c r="R13" s="142"/>
      <c r="S13" s="318"/>
      <c r="T13" s="173"/>
      <c r="U13" s="223"/>
      <c r="V13" s="320"/>
      <c r="W13" s="142"/>
      <c r="X13" s="142"/>
      <c r="Y13" s="318"/>
      <c r="Z13" s="173"/>
      <c r="AA13" s="75"/>
      <c r="AB13" s="75"/>
      <c r="AC13" s="75"/>
      <c r="AD13" s="75"/>
      <c r="AE13" s="75"/>
      <c r="AF13" s="75">
        <f ca="1">ЦветЯчейки</f>
        <v>0</v>
      </c>
      <c r="AG13" s="5"/>
      <c r="AH13" s="5"/>
    </row>
    <row r="14" spans="1:34" s="1" customFormat="1" ht="60" x14ac:dyDescent="0.25">
      <c r="A14" s="182">
        <v>12</v>
      </c>
      <c r="B14" s="199" t="s">
        <v>155</v>
      </c>
      <c r="C14" s="200" t="s">
        <v>903</v>
      </c>
      <c r="D14" s="93"/>
      <c r="E14" s="290"/>
      <c r="F14" s="5"/>
      <c r="G14" s="3">
        <v>2631016895</v>
      </c>
      <c r="H14" s="5"/>
      <c r="I14" s="78">
        <v>5</v>
      </c>
      <c r="J14" s="183"/>
      <c r="K14" s="222"/>
      <c r="L14" s="142"/>
      <c r="M14" s="75"/>
      <c r="N14" s="223"/>
      <c r="O14" s="284"/>
      <c r="P14" s="343"/>
      <c r="Q14" s="142"/>
      <c r="R14" s="142"/>
      <c r="S14" s="318"/>
      <c r="T14" s="173"/>
      <c r="U14" s="223"/>
      <c r="V14" s="341"/>
      <c r="W14" s="142"/>
      <c r="X14" s="142"/>
      <c r="Y14" s="318"/>
      <c r="Z14" s="173"/>
      <c r="AA14" s="75"/>
      <c r="AB14" s="75"/>
      <c r="AC14" s="75"/>
      <c r="AD14" s="75"/>
      <c r="AE14" s="75"/>
      <c r="AF14" s="75">
        <f ca="1">ЦветЯчейки</f>
        <v>0</v>
      </c>
      <c r="AG14" s="5"/>
      <c r="AH14" s="5"/>
    </row>
    <row r="15" spans="1:34" s="1" customFormat="1" ht="61.5" customHeight="1" x14ac:dyDescent="0.25">
      <c r="A15" s="182">
        <v>13</v>
      </c>
      <c r="B15" s="199" t="s">
        <v>579</v>
      </c>
      <c r="C15" s="240" t="s">
        <v>904</v>
      </c>
      <c r="D15" s="93"/>
      <c r="E15" s="290"/>
      <c r="F15" s="75"/>
      <c r="G15" s="3">
        <v>2610017369</v>
      </c>
      <c r="H15" s="5"/>
      <c r="I15" s="78"/>
      <c r="J15" s="183">
        <v>1</v>
      </c>
      <c r="K15" s="222"/>
      <c r="L15" s="142"/>
      <c r="M15" s="75"/>
      <c r="N15" s="223"/>
      <c r="O15" s="284"/>
      <c r="P15" s="341"/>
      <c r="Q15" s="142"/>
      <c r="R15" s="142"/>
      <c r="S15" s="318"/>
      <c r="T15" s="173"/>
      <c r="U15" s="223"/>
      <c r="V15" s="320"/>
      <c r="W15" s="142"/>
      <c r="X15" s="142"/>
      <c r="Y15" s="318"/>
      <c r="Z15" s="173"/>
      <c r="AA15" s="75"/>
      <c r="AB15" s="75"/>
      <c r="AC15" s="75"/>
      <c r="AD15" s="75"/>
      <c r="AE15" s="75"/>
      <c r="AF15" s="75">
        <f ca="1">ЦветЯчейки</f>
        <v>0</v>
      </c>
      <c r="AG15" s="5"/>
      <c r="AH15" s="5"/>
    </row>
    <row r="16" spans="1:34" s="1" customFormat="1" ht="61.5" customHeight="1" x14ac:dyDescent="0.25">
      <c r="A16" s="182">
        <v>14</v>
      </c>
      <c r="B16" s="199" t="s">
        <v>633</v>
      </c>
      <c r="C16" s="240" t="s">
        <v>905</v>
      </c>
      <c r="D16" s="221" t="s">
        <v>635</v>
      </c>
      <c r="E16" s="289">
        <v>44561</v>
      </c>
      <c r="F16" s="5" t="s">
        <v>33</v>
      </c>
      <c r="G16" s="3">
        <v>2631034855</v>
      </c>
      <c r="H16" s="5"/>
      <c r="I16" s="78">
        <v>1</v>
      </c>
      <c r="J16" s="183"/>
      <c r="K16" s="177"/>
      <c r="L16" s="142"/>
      <c r="M16" s="142"/>
      <c r="N16" s="173"/>
      <c r="O16" s="284"/>
      <c r="P16" s="341"/>
      <c r="Q16" s="142"/>
      <c r="R16" s="142"/>
      <c r="S16" s="318"/>
      <c r="T16" s="173"/>
      <c r="U16" s="223"/>
      <c r="V16" s="177"/>
      <c r="W16" s="142"/>
      <c r="X16" s="142"/>
      <c r="Y16" s="142"/>
      <c r="Z16" s="173"/>
      <c r="AA16" s="75"/>
      <c r="AB16" s="75"/>
      <c r="AC16" s="75"/>
      <c r="AD16" s="75"/>
      <c r="AE16" s="75"/>
      <c r="AF16" s="75">
        <f ca="1">ЦветЯчейки</f>
        <v>0</v>
      </c>
      <c r="AG16" s="5"/>
      <c r="AH16" s="5"/>
    </row>
    <row r="17" spans="1:34" s="1" customFormat="1" ht="105" x14ac:dyDescent="0.25">
      <c r="A17" s="182">
        <v>15</v>
      </c>
      <c r="B17" s="111" t="s">
        <v>180</v>
      </c>
      <c r="C17" s="147" t="s">
        <v>906</v>
      </c>
      <c r="D17" s="305"/>
      <c r="E17" s="306"/>
      <c r="F17" s="5"/>
      <c r="G17" s="5">
        <v>2610005839</v>
      </c>
      <c r="H17" s="79"/>
      <c r="I17" s="212">
        <v>5</v>
      </c>
      <c r="J17" s="183"/>
      <c r="K17" s="177"/>
      <c r="L17" s="142"/>
      <c r="M17" s="142"/>
      <c r="N17" s="173"/>
      <c r="O17" s="284"/>
      <c r="P17" s="343"/>
      <c r="Q17" s="142"/>
      <c r="R17" s="142"/>
      <c r="S17" s="318"/>
      <c r="T17" s="173"/>
      <c r="U17" s="223"/>
      <c r="V17" s="320"/>
      <c r="W17" s="142"/>
      <c r="X17" s="142"/>
      <c r="Y17" s="318"/>
      <c r="Z17" s="173"/>
      <c r="AA17" s="75"/>
      <c r="AB17" s="142"/>
      <c r="AC17" s="75"/>
      <c r="AD17" s="75"/>
      <c r="AE17" s="75"/>
      <c r="AF17" s="75">
        <f ca="1">ЦветЯчейки</f>
        <v>0</v>
      </c>
      <c r="AG17" s="5"/>
      <c r="AH17" s="5"/>
    </row>
    <row r="18" spans="1:34" s="1" customFormat="1" ht="75" x14ac:dyDescent="0.25">
      <c r="A18" s="182">
        <v>16</v>
      </c>
      <c r="B18" s="157" t="s">
        <v>522</v>
      </c>
      <c r="C18" s="147" t="s">
        <v>907</v>
      </c>
      <c r="D18" s="93"/>
      <c r="E18" s="290"/>
      <c r="F18" s="75"/>
      <c r="G18" s="78">
        <v>261001587570</v>
      </c>
      <c r="H18" s="5"/>
      <c r="I18" s="75">
        <v>1</v>
      </c>
      <c r="J18" s="183"/>
      <c r="K18" s="177"/>
      <c r="L18" s="142"/>
      <c r="M18" s="142"/>
      <c r="N18" s="173"/>
      <c r="O18" s="284"/>
      <c r="P18" s="318"/>
      <c r="Q18" s="142"/>
      <c r="R18" s="142"/>
      <c r="S18" s="318"/>
      <c r="T18" s="173"/>
      <c r="U18" s="223"/>
      <c r="V18" s="318"/>
      <c r="W18" s="142"/>
      <c r="X18" s="142"/>
      <c r="Y18" s="318"/>
      <c r="Z18" s="173"/>
      <c r="AA18" s="75"/>
      <c r="AB18" s="142"/>
      <c r="AC18" s="75"/>
      <c r="AD18" s="75"/>
      <c r="AE18" s="75"/>
      <c r="AF18" s="75">
        <f ca="1">ЦветЯчейки</f>
        <v>0</v>
      </c>
      <c r="AG18" s="5"/>
      <c r="AH18" s="5"/>
    </row>
    <row r="19" spans="1:34" s="1" customFormat="1" ht="45" x14ac:dyDescent="0.25">
      <c r="A19" s="182">
        <v>17</v>
      </c>
      <c r="B19" s="158" t="s">
        <v>289</v>
      </c>
      <c r="C19" s="17" t="s">
        <v>908</v>
      </c>
      <c r="D19" s="93" t="s">
        <v>831</v>
      </c>
      <c r="E19" s="290">
        <v>44561</v>
      </c>
      <c r="F19" s="5" t="s">
        <v>33</v>
      </c>
      <c r="G19" s="5">
        <v>2634049360</v>
      </c>
      <c r="H19" s="79"/>
      <c r="I19" s="78"/>
      <c r="J19" s="184">
        <v>209</v>
      </c>
      <c r="K19" s="244"/>
      <c r="L19" s="142"/>
      <c r="M19" s="142"/>
      <c r="N19" s="173"/>
      <c r="O19" s="284"/>
      <c r="P19" s="341"/>
      <c r="Q19" s="142"/>
      <c r="R19" s="142"/>
      <c r="S19" s="318"/>
      <c r="T19" s="173"/>
      <c r="U19" s="223"/>
      <c r="V19" s="320"/>
      <c r="W19" s="142"/>
      <c r="X19" s="142"/>
      <c r="Y19" s="318"/>
      <c r="Z19" s="173"/>
      <c r="AA19" s="75"/>
      <c r="AB19" s="142"/>
      <c r="AC19" s="75"/>
      <c r="AD19" s="75"/>
      <c r="AE19" s="75"/>
      <c r="AF19" s="75">
        <f ca="1">ЦветЯчейки</f>
        <v>0</v>
      </c>
      <c r="AG19" s="5"/>
      <c r="AH19" s="5"/>
    </row>
    <row r="20" spans="1:34" s="1" customFormat="1" ht="60" x14ac:dyDescent="0.25">
      <c r="A20" s="182">
        <v>18</v>
      </c>
      <c r="B20" s="158" t="s">
        <v>387</v>
      </c>
      <c r="C20" s="17" t="s">
        <v>909</v>
      </c>
      <c r="D20" s="93"/>
      <c r="E20" s="290"/>
      <c r="F20" s="5"/>
      <c r="G20" s="5">
        <v>2635077200</v>
      </c>
      <c r="H20" s="151"/>
      <c r="I20" s="78"/>
      <c r="J20" s="184">
        <v>12</v>
      </c>
      <c r="K20" s="177"/>
      <c r="L20" s="142"/>
      <c r="M20" s="142"/>
      <c r="N20" s="173"/>
      <c r="O20" s="284"/>
      <c r="P20" s="341"/>
      <c r="Q20" s="142"/>
      <c r="R20" s="142"/>
      <c r="S20" s="318"/>
      <c r="T20" s="173"/>
      <c r="U20" s="223"/>
      <c r="V20" s="318"/>
      <c r="W20" s="142"/>
      <c r="X20" s="142"/>
      <c r="Y20" s="318"/>
      <c r="Z20" s="173"/>
      <c r="AA20" s="75"/>
      <c r="AB20" s="142"/>
      <c r="AC20" s="75"/>
      <c r="AD20" s="75"/>
      <c r="AE20" s="75"/>
      <c r="AF20" s="75">
        <f ca="1">ЦветЯчейки</f>
        <v>0</v>
      </c>
      <c r="AG20" s="5"/>
      <c r="AH20" s="5"/>
    </row>
    <row r="21" spans="1:34" s="1" customFormat="1" ht="60" x14ac:dyDescent="0.25">
      <c r="A21" s="182">
        <v>19</v>
      </c>
      <c r="B21" s="158" t="s">
        <v>165</v>
      </c>
      <c r="C21" s="17" t="s">
        <v>910</v>
      </c>
      <c r="D21" s="93"/>
      <c r="E21" s="290"/>
      <c r="F21" s="5"/>
      <c r="G21" s="5">
        <v>2636041790</v>
      </c>
      <c r="H21" s="79"/>
      <c r="I21" s="78"/>
      <c r="J21" s="184">
        <v>2</v>
      </c>
      <c r="K21" s="177"/>
      <c r="L21" s="142"/>
      <c r="M21" s="142"/>
      <c r="N21" s="173"/>
      <c r="O21" s="284"/>
      <c r="P21" s="318"/>
      <c r="Q21" s="142"/>
      <c r="R21" s="142"/>
      <c r="S21" s="318"/>
      <c r="T21" s="173"/>
      <c r="U21" s="223"/>
      <c r="V21" s="318"/>
      <c r="W21" s="142"/>
      <c r="X21" s="142"/>
      <c r="Y21" s="318"/>
      <c r="Z21" s="173"/>
      <c r="AA21" s="75"/>
      <c r="AB21" s="142"/>
      <c r="AC21" s="75"/>
      <c r="AD21" s="75"/>
      <c r="AE21" s="75"/>
      <c r="AF21" s="75">
        <f ca="1">ЦветЯчейки</f>
        <v>0</v>
      </c>
      <c r="AG21" s="5"/>
      <c r="AH21" s="5"/>
    </row>
    <row r="22" spans="1:34" s="1" customFormat="1" ht="75" x14ac:dyDescent="0.25">
      <c r="A22" s="182">
        <v>20</v>
      </c>
      <c r="B22" s="158" t="s">
        <v>182</v>
      </c>
      <c r="C22" s="17" t="s">
        <v>911</v>
      </c>
      <c r="D22" s="93"/>
      <c r="E22" s="290"/>
      <c r="F22" s="5"/>
      <c r="G22" s="5">
        <v>2635070950</v>
      </c>
      <c r="H22" s="79"/>
      <c r="I22" s="79">
        <v>15</v>
      </c>
      <c r="J22" s="183">
        <v>6</v>
      </c>
      <c r="K22" s="177"/>
      <c r="L22" s="142"/>
      <c r="M22" s="142"/>
      <c r="N22" s="173"/>
      <c r="O22" s="284"/>
      <c r="P22" s="318"/>
      <c r="Q22" s="142"/>
      <c r="R22" s="142"/>
      <c r="S22" s="318"/>
      <c r="T22" s="173"/>
      <c r="U22" s="223"/>
      <c r="V22" s="318"/>
      <c r="W22" s="142"/>
      <c r="X22" s="142"/>
      <c r="Y22" s="318"/>
      <c r="Z22" s="173"/>
      <c r="AA22" s="75"/>
      <c r="AB22" s="142"/>
      <c r="AC22" s="75"/>
      <c r="AD22" s="75"/>
      <c r="AE22" s="75"/>
      <c r="AF22" s="75">
        <f ca="1">ЦветЯчейки</f>
        <v>0</v>
      </c>
      <c r="AG22" s="5"/>
      <c r="AH22" s="5"/>
    </row>
    <row r="23" spans="1:34" s="1" customFormat="1" ht="45" x14ac:dyDescent="0.25">
      <c r="A23" s="182">
        <v>21</v>
      </c>
      <c r="B23" s="158" t="s">
        <v>209</v>
      </c>
      <c r="C23" s="17" t="s">
        <v>912</v>
      </c>
      <c r="D23" s="93"/>
      <c r="E23" s="290"/>
      <c r="F23" s="5"/>
      <c r="G23" s="168">
        <v>2633005289</v>
      </c>
      <c r="H23" s="79"/>
      <c r="I23" s="170">
        <v>16</v>
      </c>
      <c r="J23" s="183"/>
      <c r="K23" s="177"/>
      <c r="L23" s="142"/>
      <c r="M23" s="142"/>
      <c r="N23" s="173"/>
      <c r="O23" s="284"/>
      <c r="P23" s="318"/>
      <c r="Q23" s="142"/>
      <c r="R23" s="142"/>
      <c r="S23" s="318"/>
      <c r="T23" s="173"/>
      <c r="U23" s="223"/>
      <c r="V23" s="318"/>
      <c r="W23" s="142"/>
      <c r="X23" s="142"/>
      <c r="Y23" s="318"/>
      <c r="Z23" s="173"/>
      <c r="AA23" s="75"/>
      <c r="AB23" s="142"/>
      <c r="AC23" s="75"/>
      <c r="AD23" s="75"/>
      <c r="AE23" s="75"/>
      <c r="AF23" s="75">
        <f ca="1">ЦветЯчейки</f>
        <v>0</v>
      </c>
      <c r="AG23" s="5"/>
      <c r="AH23" s="5"/>
    </row>
    <row r="24" spans="1:34" s="1" customFormat="1" ht="60" x14ac:dyDescent="0.25">
      <c r="A24" s="182">
        <v>22</v>
      </c>
      <c r="B24" s="158" t="s">
        <v>168</v>
      </c>
      <c r="C24" s="17" t="s">
        <v>913</v>
      </c>
      <c r="D24" s="93"/>
      <c r="E24" s="290"/>
      <c r="F24" s="5"/>
      <c r="G24" s="5">
        <v>2633005306</v>
      </c>
      <c r="H24" s="79"/>
      <c r="I24" s="79">
        <v>2</v>
      </c>
      <c r="J24" s="183"/>
      <c r="K24" s="177"/>
      <c r="L24" s="142"/>
      <c r="M24" s="142"/>
      <c r="N24" s="173"/>
      <c r="O24" s="284"/>
      <c r="P24" s="318"/>
      <c r="Q24" s="142"/>
      <c r="R24" s="142"/>
      <c r="S24" s="318"/>
      <c r="T24" s="173"/>
      <c r="U24" s="223"/>
      <c r="V24" s="318"/>
      <c r="W24" s="142"/>
      <c r="X24" s="142"/>
      <c r="Y24" s="318"/>
      <c r="Z24" s="173"/>
      <c r="AA24" s="75"/>
      <c r="AB24" s="142"/>
      <c r="AC24" s="75"/>
      <c r="AD24" s="75"/>
      <c r="AE24" s="75"/>
      <c r="AF24" s="75">
        <f ca="1">ЦветЯчейки</f>
        <v>0</v>
      </c>
      <c r="AG24" s="5"/>
      <c r="AH24" s="5"/>
    </row>
    <row r="25" spans="1:34" s="1" customFormat="1" ht="45" x14ac:dyDescent="0.25">
      <c r="A25" s="182">
        <v>23</v>
      </c>
      <c r="B25" s="158" t="s">
        <v>355</v>
      </c>
      <c r="C25" s="17" t="s">
        <v>914</v>
      </c>
      <c r="D25" s="93"/>
      <c r="E25" s="290"/>
      <c r="F25" s="5"/>
      <c r="G25" s="5">
        <v>2635089936</v>
      </c>
      <c r="H25" s="79"/>
      <c r="I25" s="78">
        <v>3</v>
      </c>
      <c r="J25" s="183"/>
      <c r="K25" s="177"/>
      <c r="L25" s="142"/>
      <c r="M25" s="142"/>
      <c r="N25" s="173"/>
      <c r="O25" s="284"/>
      <c r="P25" s="320"/>
      <c r="Q25" s="142"/>
      <c r="R25" s="142"/>
      <c r="S25" s="318"/>
      <c r="T25" s="173"/>
      <c r="U25" s="223"/>
      <c r="V25" s="318"/>
      <c r="W25" s="142"/>
      <c r="X25" s="142"/>
      <c r="Y25" s="318"/>
      <c r="Z25" s="173"/>
      <c r="AA25" s="75"/>
      <c r="AB25" s="142"/>
      <c r="AC25" s="75"/>
      <c r="AD25" s="75"/>
      <c r="AE25" s="75"/>
      <c r="AF25" s="75">
        <f ca="1">ЦветЯчейки</f>
        <v>0</v>
      </c>
      <c r="AG25" s="5"/>
      <c r="AH25" s="5"/>
    </row>
    <row r="26" spans="1:34" s="1" customFormat="1" ht="12" hidden="1" customHeight="1" x14ac:dyDescent="0.25">
      <c r="A26" s="182">
        <v>24</v>
      </c>
      <c r="B26" s="225" t="s">
        <v>224</v>
      </c>
      <c r="C26" s="25" t="s">
        <v>915</v>
      </c>
      <c r="D26" s="225"/>
      <c r="E26" s="293"/>
      <c r="F26" s="26"/>
      <c r="G26" s="26">
        <v>2633001950</v>
      </c>
      <c r="H26" s="79"/>
      <c r="I26" s="78"/>
      <c r="J26" s="183"/>
      <c r="K26" s="177"/>
      <c r="L26" s="142"/>
      <c r="M26" s="142"/>
      <c r="N26" s="173"/>
      <c r="O26" s="284"/>
      <c r="P26" s="142"/>
      <c r="Q26" s="142"/>
      <c r="R26" s="142"/>
      <c r="S26" s="318"/>
      <c r="T26" s="173"/>
      <c r="U26" s="223"/>
      <c r="V26" s="177"/>
      <c r="W26" s="142"/>
      <c r="X26" s="142"/>
      <c r="Y26" s="142"/>
      <c r="Z26" s="173"/>
      <c r="AA26" s="75"/>
      <c r="AB26" s="142"/>
      <c r="AC26" s="75"/>
      <c r="AD26" s="75"/>
      <c r="AE26" s="75"/>
      <c r="AF26" s="75">
        <f ca="1">ЦветЯчейки</f>
        <v>0</v>
      </c>
      <c r="AG26" s="5"/>
      <c r="AH26" s="5"/>
    </row>
    <row r="27" spans="1:34" s="1" customFormat="1" ht="60" x14ac:dyDescent="0.25">
      <c r="A27" s="182">
        <v>25</v>
      </c>
      <c r="B27" s="158" t="s">
        <v>401</v>
      </c>
      <c r="C27" s="17" t="s">
        <v>1193</v>
      </c>
      <c r="D27" s="246"/>
      <c r="E27" s="334"/>
      <c r="F27" s="5"/>
      <c r="G27" s="5">
        <v>2634067584</v>
      </c>
      <c r="H27" s="79"/>
      <c r="I27" s="78"/>
      <c r="J27" s="184">
        <v>2</v>
      </c>
      <c r="K27" s="177"/>
      <c r="L27" s="142"/>
      <c r="M27" s="142"/>
      <c r="N27" s="173"/>
      <c r="O27" s="284"/>
      <c r="P27" s="318"/>
      <c r="Q27" s="142"/>
      <c r="R27" s="142"/>
      <c r="S27" s="318"/>
      <c r="T27" s="173"/>
      <c r="U27" s="223"/>
      <c r="V27" s="318"/>
      <c r="W27" s="142"/>
      <c r="X27" s="142"/>
      <c r="Y27" s="318"/>
      <c r="Z27" s="173"/>
      <c r="AA27" s="75"/>
      <c r="AB27" s="142"/>
      <c r="AC27" s="75"/>
      <c r="AD27" s="75"/>
      <c r="AE27" s="75"/>
      <c r="AF27" s="75">
        <f ca="1">ЦветЯчейки</f>
        <v>0</v>
      </c>
      <c r="AG27" s="5"/>
      <c r="AH27" s="5"/>
    </row>
    <row r="28" spans="1:34" s="1" customFormat="1" ht="10.5" hidden="1" customHeight="1" x14ac:dyDescent="0.25">
      <c r="A28" s="182">
        <v>26</v>
      </c>
      <c r="B28" s="225" t="s">
        <v>215</v>
      </c>
      <c r="C28" s="25" t="s">
        <v>916</v>
      </c>
      <c r="D28" s="225"/>
      <c r="E28" s="293"/>
      <c r="F28" s="26"/>
      <c r="G28" s="26">
        <v>2636089294</v>
      </c>
      <c r="H28" s="79"/>
      <c r="I28" s="210"/>
      <c r="J28" s="211"/>
      <c r="K28" s="177"/>
      <c r="L28" s="142"/>
      <c r="M28" s="142"/>
      <c r="N28" s="173"/>
      <c r="O28" s="284"/>
      <c r="P28" s="142"/>
      <c r="Q28" s="142"/>
      <c r="R28" s="142"/>
      <c r="S28" s="318"/>
      <c r="T28" s="173"/>
      <c r="U28" s="223"/>
      <c r="V28" s="142"/>
      <c r="W28" s="142"/>
      <c r="X28" s="142"/>
      <c r="Y28" s="142"/>
      <c r="Z28" s="142"/>
      <c r="AA28" s="75"/>
      <c r="AB28" s="142"/>
      <c r="AC28" s="142"/>
      <c r="AD28" s="75"/>
      <c r="AE28" s="75"/>
      <c r="AF28" s="75">
        <f ca="1">ЦветЯчейки</f>
        <v>0</v>
      </c>
      <c r="AG28" s="5"/>
      <c r="AH28" s="5"/>
    </row>
    <row r="29" spans="1:34" s="1" customFormat="1" ht="75" x14ac:dyDescent="0.25">
      <c r="A29" s="182">
        <v>27</v>
      </c>
      <c r="B29" s="158" t="s">
        <v>10</v>
      </c>
      <c r="C29" s="17" t="s">
        <v>917</v>
      </c>
      <c r="D29" s="53"/>
      <c r="E29" s="294"/>
      <c r="F29" s="5"/>
      <c r="G29" s="5">
        <v>2635221863</v>
      </c>
      <c r="H29" s="5"/>
      <c r="I29" s="79">
        <v>15</v>
      </c>
      <c r="J29" s="183"/>
      <c r="K29" s="177"/>
      <c r="L29" s="142"/>
      <c r="M29" s="142"/>
      <c r="N29" s="173"/>
      <c r="O29" s="284"/>
      <c r="P29" s="318"/>
      <c r="Q29" s="142"/>
      <c r="R29" s="142"/>
      <c r="S29" s="318"/>
      <c r="T29" s="173"/>
      <c r="U29" s="223"/>
      <c r="V29" s="318"/>
      <c r="W29" s="142"/>
      <c r="X29" s="142"/>
      <c r="Y29" s="318"/>
      <c r="Z29" s="173"/>
      <c r="AA29" s="75"/>
      <c r="AB29" s="142"/>
      <c r="AC29" s="75"/>
      <c r="AD29" s="75"/>
      <c r="AE29" s="75"/>
      <c r="AF29" s="75">
        <f ca="1">ЦветЯчейки</f>
        <v>0</v>
      </c>
      <c r="AG29" s="5"/>
      <c r="AH29" s="5"/>
    </row>
    <row r="30" spans="1:34" s="1" customFormat="1" ht="60" x14ac:dyDescent="0.25">
      <c r="A30" s="182">
        <v>28</v>
      </c>
      <c r="B30" s="158" t="s">
        <v>233</v>
      </c>
      <c r="C30" s="17" t="s">
        <v>918</v>
      </c>
      <c r="D30" s="93"/>
      <c r="E30" s="290"/>
      <c r="F30" s="5"/>
      <c r="G30" s="75">
        <v>2633002721</v>
      </c>
      <c r="H30" s="79"/>
      <c r="I30" s="78"/>
      <c r="J30" s="184">
        <v>10</v>
      </c>
      <c r="K30" s="177"/>
      <c r="L30" s="142"/>
      <c r="M30" s="142"/>
      <c r="N30" s="173"/>
      <c r="O30" s="284"/>
      <c r="P30" s="318"/>
      <c r="Q30" s="142"/>
      <c r="R30" s="142"/>
      <c r="S30" s="318"/>
      <c r="T30" s="173"/>
      <c r="U30" s="223"/>
      <c r="V30" s="318"/>
      <c r="W30" s="142"/>
      <c r="X30" s="142"/>
      <c r="Y30" s="318"/>
      <c r="Z30" s="173"/>
      <c r="AA30" s="75"/>
      <c r="AB30" s="142"/>
      <c r="AC30" s="75"/>
      <c r="AD30" s="75"/>
      <c r="AE30" s="75"/>
      <c r="AF30" s="75">
        <f ca="1">ЦветЯчейки</f>
        <v>0</v>
      </c>
      <c r="AG30" s="5"/>
      <c r="AH30" s="5"/>
    </row>
    <row r="31" spans="1:34" s="1" customFormat="1" ht="60" x14ac:dyDescent="0.25">
      <c r="A31" s="182">
        <v>29</v>
      </c>
      <c r="B31" s="159" t="s">
        <v>193</v>
      </c>
      <c r="C31" s="17" t="s">
        <v>919</v>
      </c>
      <c r="D31" s="93"/>
      <c r="E31" s="290"/>
      <c r="F31" s="5"/>
      <c r="G31" s="5">
        <v>2633002440</v>
      </c>
      <c r="H31" s="79"/>
      <c r="I31" s="78">
        <v>5</v>
      </c>
      <c r="J31" s="183"/>
      <c r="K31" s="177"/>
      <c r="L31" s="142"/>
      <c r="M31" s="142"/>
      <c r="N31" s="173"/>
      <c r="O31" s="284"/>
      <c r="P31" s="318"/>
      <c r="Q31" s="142"/>
      <c r="R31" s="142"/>
      <c r="S31" s="318"/>
      <c r="T31" s="173"/>
      <c r="U31" s="223"/>
      <c r="V31" s="318"/>
      <c r="W31" s="142"/>
      <c r="X31" s="142"/>
      <c r="Y31" s="318"/>
      <c r="Z31" s="173"/>
      <c r="AA31" s="75"/>
      <c r="AB31" s="142"/>
      <c r="AC31" s="75"/>
      <c r="AD31" s="75"/>
      <c r="AE31" s="75"/>
      <c r="AF31" s="75">
        <f ca="1">ЦветЯчейки</f>
        <v>0</v>
      </c>
      <c r="AG31" s="5"/>
      <c r="AH31" s="5"/>
    </row>
    <row r="32" spans="1:34" s="1" customFormat="1" ht="60" x14ac:dyDescent="0.25">
      <c r="A32" s="182">
        <v>31</v>
      </c>
      <c r="B32" s="158" t="s">
        <v>154</v>
      </c>
      <c r="C32" s="17" t="s">
        <v>921</v>
      </c>
      <c r="D32" s="93"/>
      <c r="E32" s="290"/>
      <c r="F32" s="75"/>
      <c r="G32" s="5">
        <v>2633003193</v>
      </c>
      <c r="H32" s="5"/>
      <c r="I32" s="149">
        <v>20</v>
      </c>
      <c r="J32" s="183">
        <v>13</v>
      </c>
      <c r="K32" s="177"/>
      <c r="L32" s="142"/>
      <c r="M32" s="142"/>
      <c r="N32" s="173"/>
      <c r="O32" s="284"/>
      <c r="P32" s="318"/>
      <c r="Q32" s="142"/>
      <c r="R32" s="142"/>
      <c r="S32" s="318"/>
      <c r="T32" s="173"/>
      <c r="U32" s="223"/>
      <c r="V32" s="177"/>
      <c r="W32" s="142"/>
      <c r="X32" s="142"/>
      <c r="Y32" s="142"/>
      <c r="Z32" s="173"/>
      <c r="AA32" s="75"/>
      <c r="AB32" s="142"/>
      <c r="AC32" s="75"/>
      <c r="AD32" s="75"/>
      <c r="AE32" s="75"/>
      <c r="AF32" s="75">
        <f ca="1">ЦветЯчейки</f>
        <v>0</v>
      </c>
      <c r="AG32" s="5"/>
      <c r="AH32" s="5"/>
    </row>
    <row r="33" spans="1:34" s="1" customFormat="1" ht="45" x14ac:dyDescent="0.25">
      <c r="A33" s="182">
        <v>32</v>
      </c>
      <c r="B33" s="158" t="s">
        <v>463</v>
      </c>
      <c r="C33" s="17" t="s">
        <v>922</v>
      </c>
      <c r="D33" s="246"/>
      <c r="E33" s="334"/>
      <c r="F33" s="75"/>
      <c r="G33" s="5">
        <v>2633001990</v>
      </c>
      <c r="H33" s="79"/>
      <c r="I33" s="78"/>
      <c r="J33" s="184">
        <v>13</v>
      </c>
      <c r="K33" s="177"/>
      <c r="L33" s="136"/>
      <c r="M33" s="142"/>
      <c r="N33" s="173"/>
      <c r="O33" s="284"/>
      <c r="P33" s="318"/>
      <c r="Q33" s="142"/>
      <c r="R33" s="142"/>
      <c r="S33" s="318"/>
      <c r="T33" s="173"/>
      <c r="U33" s="223"/>
      <c r="V33" s="320"/>
      <c r="W33" s="142"/>
      <c r="X33" s="142"/>
      <c r="Y33" s="318"/>
      <c r="Z33" s="173"/>
      <c r="AA33" s="75"/>
      <c r="AB33" s="142"/>
      <c r="AC33" s="75"/>
      <c r="AD33" s="75"/>
      <c r="AE33" s="75"/>
      <c r="AF33" s="75">
        <f ca="1">ЦветЯчейки</f>
        <v>0</v>
      </c>
      <c r="AG33" s="5"/>
      <c r="AH33" s="5"/>
    </row>
    <row r="34" spans="1:34" s="1" customFormat="1" ht="45" x14ac:dyDescent="0.25">
      <c r="A34" s="182">
        <v>33</v>
      </c>
      <c r="B34" s="158" t="s">
        <v>158</v>
      </c>
      <c r="C34" s="17" t="s">
        <v>923</v>
      </c>
      <c r="D34" s="93"/>
      <c r="E34" s="290"/>
      <c r="F34" s="5"/>
      <c r="G34" s="5">
        <v>2636004646</v>
      </c>
      <c r="H34" s="79"/>
      <c r="I34" s="79"/>
      <c r="J34" s="183">
        <v>2</v>
      </c>
      <c r="K34" s="177"/>
      <c r="L34" s="142"/>
      <c r="M34" s="142"/>
      <c r="N34" s="173"/>
      <c r="O34" s="284"/>
      <c r="P34" s="343"/>
      <c r="Q34" s="142"/>
      <c r="R34" s="142"/>
      <c r="S34" s="318"/>
      <c r="T34" s="173"/>
      <c r="U34" s="223"/>
      <c r="V34" s="320"/>
      <c r="W34" s="142"/>
      <c r="X34" s="142"/>
      <c r="Y34" s="318"/>
      <c r="Z34" s="173"/>
      <c r="AA34" s="75"/>
      <c r="AB34" s="142"/>
      <c r="AC34" s="75"/>
      <c r="AD34" s="75"/>
      <c r="AE34" s="75"/>
      <c r="AF34" s="75">
        <f t="shared" ref="AF34:AF64" ca="1" si="0">ЦветЯчейки</f>
        <v>0</v>
      </c>
      <c r="AG34" s="5"/>
      <c r="AH34" s="5"/>
    </row>
    <row r="35" spans="1:34" s="1" customFormat="1" ht="60" x14ac:dyDescent="0.25">
      <c r="A35" s="182">
        <v>35</v>
      </c>
      <c r="B35" s="158" t="s">
        <v>372</v>
      </c>
      <c r="C35" s="17" t="s">
        <v>925</v>
      </c>
      <c r="D35" s="93"/>
      <c r="E35" s="290"/>
      <c r="F35" s="75"/>
      <c r="G35" s="5">
        <v>2636810075</v>
      </c>
      <c r="H35" s="79"/>
      <c r="I35" s="78">
        <v>1</v>
      </c>
      <c r="J35" s="183"/>
      <c r="K35" s="177"/>
      <c r="L35" s="142"/>
      <c r="M35" s="142"/>
      <c r="N35" s="173"/>
      <c r="O35" s="284"/>
      <c r="P35" s="320"/>
      <c r="Q35" s="142"/>
      <c r="R35" s="142"/>
      <c r="S35" s="318"/>
      <c r="T35" s="173"/>
      <c r="U35" s="223"/>
      <c r="V35" s="177"/>
      <c r="W35" s="142"/>
      <c r="X35" s="142"/>
      <c r="Y35" s="142"/>
      <c r="Z35" s="173"/>
      <c r="AA35" s="75"/>
      <c r="AB35" s="142"/>
      <c r="AC35" s="75"/>
      <c r="AD35" s="75"/>
      <c r="AE35" s="75"/>
      <c r="AF35" s="75">
        <f t="shared" ca="1" si="0"/>
        <v>0</v>
      </c>
      <c r="AG35" s="5"/>
      <c r="AH35" s="5"/>
    </row>
    <row r="36" spans="1:34" s="1" customFormat="1" ht="45" x14ac:dyDescent="0.25">
      <c r="A36" s="182">
        <v>36</v>
      </c>
      <c r="B36" s="158" t="s">
        <v>749</v>
      </c>
      <c r="C36" s="17" t="s">
        <v>926</v>
      </c>
      <c r="D36" s="221" t="s">
        <v>750</v>
      </c>
      <c r="E36" s="289">
        <v>44561</v>
      </c>
      <c r="F36" s="75" t="s">
        <v>33</v>
      </c>
      <c r="G36" s="274" t="s">
        <v>751</v>
      </c>
      <c r="H36" s="148"/>
      <c r="I36" s="169">
        <v>2</v>
      </c>
      <c r="J36" s="183"/>
      <c r="K36" s="177"/>
      <c r="L36" s="142"/>
      <c r="M36" s="142"/>
      <c r="N36" s="173"/>
      <c r="O36" s="284"/>
      <c r="P36" s="142"/>
      <c r="Q36" s="142"/>
      <c r="R36" s="142"/>
      <c r="S36" s="318"/>
      <c r="T36" s="142"/>
      <c r="U36" s="223"/>
      <c r="V36" s="142"/>
      <c r="W36" s="142"/>
      <c r="X36" s="142"/>
      <c r="Y36" s="142"/>
      <c r="Z36" s="142"/>
      <c r="AA36" s="75"/>
      <c r="AB36" s="142"/>
      <c r="AC36" s="75"/>
      <c r="AD36" s="75"/>
      <c r="AE36" s="75"/>
      <c r="AF36" s="75">
        <f t="shared" ca="1" si="0"/>
        <v>0</v>
      </c>
      <c r="AG36" s="5"/>
      <c r="AH36" s="5"/>
    </row>
    <row r="37" spans="1:34" s="1" customFormat="1" ht="60" x14ac:dyDescent="0.25">
      <c r="A37" s="182">
        <v>37</v>
      </c>
      <c r="B37" s="159" t="s">
        <v>310</v>
      </c>
      <c r="C37" s="17" t="s">
        <v>927</v>
      </c>
      <c r="D37" s="93"/>
      <c r="E37" s="290"/>
      <c r="F37" s="75"/>
      <c r="G37" s="5">
        <v>2636087924</v>
      </c>
      <c r="H37" s="5"/>
      <c r="I37" s="5">
        <v>1</v>
      </c>
      <c r="J37" s="183"/>
      <c r="K37" s="177"/>
      <c r="L37" s="142"/>
      <c r="M37" s="142"/>
      <c r="N37" s="173"/>
      <c r="O37" s="284"/>
      <c r="P37" s="320"/>
      <c r="Q37" s="142"/>
      <c r="R37" s="142"/>
      <c r="S37" s="318"/>
      <c r="T37" s="173"/>
      <c r="U37" s="223"/>
      <c r="V37" s="320"/>
      <c r="W37" s="142"/>
      <c r="X37" s="142"/>
      <c r="Y37" s="318"/>
      <c r="Z37" s="173"/>
      <c r="AA37" s="75"/>
      <c r="AB37" s="142"/>
      <c r="AC37" s="75"/>
      <c r="AD37" s="75"/>
      <c r="AE37" s="75"/>
      <c r="AF37" s="75">
        <f t="shared" ca="1" si="0"/>
        <v>0</v>
      </c>
      <c r="AG37" s="5"/>
      <c r="AH37" s="5"/>
    </row>
    <row r="38" spans="1:34" s="1" customFormat="1" ht="45" x14ac:dyDescent="0.25">
      <c r="A38" s="182">
        <v>38</v>
      </c>
      <c r="B38" s="158" t="s">
        <v>408</v>
      </c>
      <c r="C38" s="202" t="s">
        <v>928</v>
      </c>
      <c r="D38" s="93"/>
      <c r="E38" s="290"/>
      <c r="F38" s="75"/>
      <c r="G38" s="5">
        <v>2635083892</v>
      </c>
      <c r="H38" s="79"/>
      <c r="I38" s="78">
        <v>1</v>
      </c>
      <c r="J38" s="184"/>
      <c r="K38" s="177"/>
      <c r="L38" s="142"/>
      <c r="M38" s="136"/>
      <c r="N38" s="173"/>
      <c r="O38" s="284"/>
      <c r="P38" s="320"/>
      <c r="Q38" s="142"/>
      <c r="R38" s="142"/>
      <c r="S38" s="318"/>
      <c r="T38" s="173"/>
      <c r="U38" s="223"/>
      <c r="V38" s="320"/>
      <c r="W38" s="142"/>
      <c r="X38" s="142"/>
      <c r="Y38" s="318"/>
      <c r="Z38" s="173"/>
      <c r="AA38" s="75"/>
      <c r="AB38" s="142"/>
      <c r="AC38" s="75"/>
      <c r="AD38" s="75"/>
      <c r="AE38" s="75"/>
      <c r="AF38" s="75">
        <f t="shared" ca="1" si="0"/>
        <v>0</v>
      </c>
      <c r="AG38" s="5"/>
      <c r="AH38" s="5"/>
    </row>
    <row r="39" spans="1:34" s="1" customFormat="1" ht="60" x14ac:dyDescent="0.25">
      <c r="A39" s="182">
        <v>39</v>
      </c>
      <c r="B39" s="158" t="s">
        <v>171</v>
      </c>
      <c r="C39" s="17" t="s">
        <v>929</v>
      </c>
      <c r="D39" s="93"/>
      <c r="E39" s="290"/>
      <c r="F39" s="75"/>
      <c r="G39" s="5">
        <v>2635085339</v>
      </c>
      <c r="H39" s="79"/>
      <c r="I39" s="78">
        <v>1</v>
      </c>
      <c r="J39" s="183">
        <v>1</v>
      </c>
      <c r="K39" s="177"/>
      <c r="L39" s="142"/>
      <c r="M39" s="142"/>
      <c r="N39" s="173"/>
      <c r="O39" s="284"/>
      <c r="P39" s="320"/>
      <c r="Q39" s="142"/>
      <c r="R39" s="142"/>
      <c r="S39" s="318"/>
      <c r="T39" s="173"/>
      <c r="U39" s="223"/>
      <c r="V39" s="320"/>
      <c r="W39" s="142"/>
      <c r="X39" s="142"/>
      <c r="Y39" s="318"/>
      <c r="Z39" s="173"/>
      <c r="AA39" s="75"/>
      <c r="AB39" s="142"/>
      <c r="AC39" s="75"/>
      <c r="AD39" s="75"/>
      <c r="AE39" s="75"/>
      <c r="AF39" s="75">
        <f t="shared" ca="1" si="0"/>
        <v>0</v>
      </c>
      <c r="AG39" s="5"/>
      <c r="AH39" s="5"/>
    </row>
    <row r="40" spans="1:34" s="1" customFormat="1" ht="60" x14ac:dyDescent="0.25">
      <c r="A40" s="182">
        <v>40</v>
      </c>
      <c r="B40" s="159" t="s">
        <v>279</v>
      </c>
      <c r="C40" s="17" t="s">
        <v>930</v>
      </c>
      <c r="D40" s="93"/>
      <c r="E40" s="290"/>
      <c r="F40" s="75"/>
      <c r="G40" s="5">
        <v>2634063413</v>
      </c>
      <c r="H40" s="5"/>
      <c r="I40" s="75">
        <v>2</v>
      </c>
      <c r="J40" s="183"/>
      <c r="K40" s="177"/>
      <c r="L40" s="142"/>
      <c r="M40" s="142"/>
      <c r="N40" s="173"/>
      <c r="O40" s="284"/>
      <c r="P40" s="320"/>
      <c r="Q40" s="142"/>
      <c r="R40" s="142"/>
      <c r="S40" s="318"/>
      <c r="T40" s="173"/>
      <c r="U40" s="223"/>
      <c r="V40" s="320"/>
      <c r="W40" s="142"/>
      <c r="X40" s="142"/>
      <c r="Y40" s="318"/>
      <c r="Z40" s="173"/>
      <c r="AA40" s="75"/>
      <c r="AB40" s="142"/>
      <c r="AC40" s="75"/>
      <c r="AD40" s="75"/>
      <c r="AE40" s="75"/>
      <c r="AF40" s="75">
        <f t="shared" ca="1" si="0"/>
        <v>0</v>
      </c>
      <c r="AG40" s="5"/>
      <c r="AH40" s="5"/>
    </row>
    <row r="41" spans="1:34" s="1" customFormat="1" ht="75" x14ac:dyDescent="0.25">
      <c r="A41" s="182">
        <v>41</v>
      </c>
      <c r="B41" s="158" t="s">
        <v>184</v>
      </c>
      <c r="C41" s="17" t="s">
        <v>931</v>
      </c>
      <c r="D41" s="93"/>
      <c r="E41" s="290"/>
      <c r="F41" s="75"/>
      <c r="G41" s="5">
        <v>2635101220</v>
      </c>
      <c r="H41" s="79"/>
      <c r="I41" s="78"/>
      <c r="J41" s="183">
        <v>1</v>
      </c>
      <c r="K41" s="177"/>
      <c r="L41" s="142"/>
      <c r="M41" s="142"/>
      <c r="N41" s="173"/>
      <c r="O41" s="284"/>
      <c r="P41" s="320"/>
      <c r="Q41" s="142"/>
      <c r="R41" s="142"/>
      <c r="S41" s="318"/>
      <c r="T41" s="173"/>
      <c r="U41" s="223"/>
      <c r="V41" s="320"/>
      <c r="W41" s="142"/>
      <c r="X41" s="142"/>
      <c r="Y41" s="318"/>
      <c r="Z41" s="173"/>
      <c r="AA41" s="75"/>
      <c r="AB41" s="142"/>
      <c r="AC41" s="75"/>
      <c r="AD41" s="75"/>
      <c r="AE41" s="75"/>
      <c r="AF41" s="75">
        <f t="shared" ca="1" si="0"/>
        <v>0</v>
      </c>
      <c r="AG41" s="5"/>
      <c r="AH41" s="5"/>
    </row>
    <row r="42" spans="1:34" s="1" customFormat="1" ht="45" x14ac:dyDescent="0.25">
      <c r="A42" s="182">
        <v>42</v>
      </c>
      <c r="B42" s="158" t="s">
        <v>410</v>
      </c>
      <c r="C42" s="202" t="s">
        <v>928</v>
      </c>
      <c r="D42" s="93"/>
      <c r="E42" s="290"/>
      <c r="F42" s="75"/>
      <c r="G42" s="5">
        <v>2633004976</v>
      </c>
      <c r="H42" s="79"/>
      <c r="I42" s="78">
        <v>3</v>
      </c>
      <c r="J42" s="184"/>
      <c r="K42" s="177"/>
      <c r="L42" s="142"/>
      <c r="M42" s="142"/>
      <c r="N42" s="173"/>
      <c r="O42" s="284"/>
      <c r="P42" s="320"/>
      <c r="Q42" s="142"/>
      <c r="R42" s="142"/>
      <c r="S42" s="318"/>
      <c r="T42" s="173"/>
      <c r="U42" s="223"/>
      <c r="V42" s="320"/>
      <c r="W42" s="142"/>
      <c r="X42" s="142"/>
      <c r="Y42" s="318"/>
      <c r="Z42" s="173"/>
      <c r="AA42" s="75"/>
      <c r="AB42" s="142"/>
      <c r="AC42" s="75"/>
      <c r="AD42" s="75"/>
      <c r="AE42" s="75"/>
      <c r="AF42" s="75">
        <f t="shared" ca="1" si="0"/>
        <v>0</v>
      </c>
      <c r="AG42" s="5"/>
      <c r="AH42" s="5"/>
    </row>
    <row r="43" spans="1:34" s="1" customFormat="1" ht="60" x14ac:dyDescent="0.25">
      <c r="A43" s="182">
        <v>43</v>
      </c>
      <c r="B43" s="158" t="s">
        <v>174</v>
      </c>
      <c r="C43" s="17" t="s">
        <v>932</v>
      </c>
      <c r="D43" s="101" t="s">
        <v>1210</v>
      </c>
      <c r="E43" s="288">
        <v>44926</v>
      </c>
      <c r="F43" s="75" t="s">
        <v>33</v>
      </c>
      <c r="G43" s="5">
        <v>2635091205</v>
      </c>
      <c r="H43" s="79"/>
      <c r="I43" s="78"/>
      <c r="J43" s="183">
        <v>1</v>
      </c>
      <c r="K43" s="177"/>
      <c r="L43" s="142"/>
      <c r="M43" s="142"/>
      <c r="N43" s="173"/>
      <c r="O43" s="284"/>
      <c r="P43" s="320"/>
      <c r="Q43" s="142"/>
      <c r="R43" s="142"/>
      <c r="S43" s="318"/>
      <c r="T43" s="173"/>
      <c r="U43" s="223"/>
      <c r="V43" s="320"/>
      <c r="W43" s="142"/>
      <c r="X43" s="142"/>
      <c r="Y43" s="318"/>
      <c r="Z43" s="173"/>
      <c r="AA43" s="75"/>
      <c r="AB43" s="142"/>
      <c r="AC43" s="75"/>
      <c r="AD43" s="75"/>
      <c r="AE43" s="75"/>
      <c r="AF43" s="75">
        <f t="shared" ca="1" si="0"/>
        <v>0</v>
      </c>
      <c r="AG43" s="5"/>
      <c r="AH43" s="5"/>
    </row>
    <row r="44" spans="1:34" s="1" customFormat="1" ht="75" x14ac:dyDescent="0.25">
      <c r="A44" s="182">
        <v>44</v>
      </c>
      <c r="B44" s="159" t="s">
        <v>281</v>
      </c>
      <c r="C44" s="17" t="s">
        <v>933</v>
      </c>
      <c r="D44" s="93"/>
      <c r="E44" s="290"/>
      <c r="F44" s="75"/>
      <c r="G44" s="5">
        <v>2634093520</v>
      </c>
      <c r="H44" s="5"/>
      <c r="I44" s="75">
        <v>1</v>
      </c>
      <c r="J44" s="183"/>
      <c r="K44" s="177"/>
      <c r="L44" s="142"/>
      <c r="M44" s="142"/>
      <c r="N44" s="173"/>
      <c r="O44" s="284"/>
      <c r="P44" s="320"/>
      <c r="Q44" s="142"/>
      <c r="R44" s="142"/>
      <c r="S44" s="318"/>
      <c r="T44" s="173"/>
      <c r="U44" s="223"/>
      <c r="V44" s="320"/>
      <c r="W44" s="142"/>
      <c r="X44" s="142"/>
      <c r="Y44" s="318"/>
      <c r="Z44" s="173"/>
      <c r="AA44" s="75"/>
      <c r="AB44" s="142"/>
      <c r="AC44" s="75"/>
      <c r="AD44" s="75"/>
      <c r="AE44" s="75"/>
      <c r="AF44" s="75">
        <f t="shared" ca="1" si="0"/>
        <v>0</v>
      </c>
      <c r="AG44" s="5"/>
      <c r="AH44" s="5"/>
    </row>
    <row r="45" spans="1:34" s="1" customFormat="1" ht="60" x14ac:dyDescent="0.25">
      <c r="A45" s="182">
        <v>45</v>
      </c>
      <c r="B45" s="159" t="s">
        <v>280</v>
      </c>
      <c r="C45" s="17" t="s">
        <v>934</v>
      </c>
      <c r="D45" s="93"/>
      <c r="E45" s="290"/>
      <c r="F45" s="75"/>
      <c r="G45" s="5">
        <v>2635800236</v>
      </c>
      <c r="H45" s="5"/>
      <c r="I45" s="75">
        <v>1</v>
      </c>
      <c r="J45" s="183"/>
      <c r="K45" s="244"/>
      <c r="L45" s="142"/>
      <c r="M45" s="142"/>
      <c r="N45" s="173"/>
      <c r="O45" s="284"/>
      <c r="P45" s="320"/>
      <c r="Q45" s="142"/>
      <c r="R45" s="142"/>
      <c r="S45" s="318"/>
      <c r="T45" s="173"/>
      <c r="U45" s="223"/>
      <c r="V45" s="320"/>
      <c r="W45" s="142"/>
      <c r="X45" s="142"/>
      <c r="Y45" s="318"/>
      <c r="Z45" s="173"/>
      <c r="AA45" s="75"/>
      <c r="AB45" s="142"/>
      <c r="AC45" s="75"/>
      <c r="AD45" s="75"/>
      <c r="AE45" s="75"/>
      <c r="AF45" s="75">
        <f t="shared" ca="1" si="0"/>
        <v>0</v>
      </c>
      <c r="AG45" s="5"/>
      <c r="AH45" s="5"/>
    </row>
    <row r="46" spans="1:34" s="1" customFormat="1" ht="15.75" hidden="1" customHeight="1" x14ac:dyDescent="0.25">
      <c r="A46" s="182">
        <v>46</v>
      </c>
      <c r="B46" s="225" t="s">
        <v>151</v>
      </c>
      <c r="C46" s="25" t="s">
        <v>935</v>
      </c>
      <c r="D46" s="93"/>
      <c r="E46" s="290"/>
      <c r="F46" s="75"/>
      <c r="G46" s="26">
        <v>2636052167</v>
      </c>
      <c r="H46" s="232"/>
      <c r="I46" s="232"/>
      <c r="J46" s="233"/>
      <c r="K46" s="177"/>
      <c r="L46" s="142"/>
      <c r="M46" s="142"/>
      <c r="N46" s="173"/>
      <c r="O46" s="284"/>
      <c r="P46" s="142"/>
      <c r="Q46" s="142"/>
      <c r="R46" s="142"/>
      <c r="S46" s="318"/>
      <c r="T46" s="142"/>
      <c r="U46" s="223"/>
      <c r="V46" s="142"/>
      <c r="W46" s="142"/>
      <c r="X46" s="142"/>
      <c r="Y46" s="142"/>
      <c r="Z46" s="142"/>
      <c r="AA46" s="75"/>
      <c r="AB46" s="142"/>
      <c r="AC46" s="75"/>
      <c r="AD46" s="75"/>
      <c r="AE46" s="75"/>
      <c r="AF46" s="75">
        <f t="shared" ca="1" si="0"/>
        <v>0</v>
      </c>
      <c r="AG46" s="5"/>
      <c r="AH46" s="5"/>
    </row>
    <row r="47" spans="1:34" s="1" customFormat="1" ht="60" x14ac:dyDescent="0.25">
      <c r="A47" s="182">
        <v>47</v>
      </c>
      <c r="B47" s="159" t="s">
        <v>317</v>
      </c>
      <c r="C47" s="17" t="s">
        <v>936</v>
      </c>
      <c r="D47" s="101"/>
      <c r="E47" s="290"/>
      <c r="F47" s="75"/>
      <c r="G47" s="5">
        <v>2635805330</v>
      </c>
      <c r="H47" s="5"/>
      <c r="I47" s="5">
        <v>2</v>
      </c>
      <c r="J47" s="183"/>
      <c r="K47" s="244"/>
      <c r="L47" s="142"/>
      <c r="M47" s="142"/>
      <c r="N47" s="173"/>
      <c r="O47" s="284"/>
      <c r="P47" s="320"/>
      <c r="Q47" s="142"/>
      <c r="R47" s="142"/>
      <c r="S47" s="318"/>
      <c r="T47" s="173"/>
      <c r="U47" s="223"/>
      <c r="V47" s="320"/>
      <c r="W47" s="142"/>
      <c r="X47" s="142"/>
      <c r="Y47" s="318"/>
      <c r="Z47" s="173"/>
      <c r="AA47" s="75"/>
      <c r="AB47" s="142"/>
      <c r="AC47" s="75"/>
      <c r="AD47" s="75"/>
      <c r="AE47" s="75"/>
      <c r="AF47" s="75">
        <f t="shared" ca="1" si="0"/>
        <v>0</v>
      </c>
      <c r="AG47" s="5"/>
      <c r="AH47" s="5"/>
    </row>
    <row r="48" spans="1:34" s="1" customFormat="1" ht="60" x14ac:dyDescent="0.25">
      <c r="A48" s="182">
        <v>48</v>
      </c>
      <c r="B48" s="159" t="s">
        <v>354</v>
      </c>
      <c r="C48" s="17" t="s">
        <v>937</v>
      </c>
      <c r="D48" s="101"/>
      <c r="E48" s="290"/>
      <c r="F48" s="75"/>
      <c r="G48" s="5">
        <v>2634096433</v>
      </c>
      <c r="H48" s="5"/>
      <c r="I48" s="5">
        <v>2</v>
      </c>
      <c r="J48" s="183"/>
      <c r="K48" s="244"/>
      <c r="L48" s="142"/>
      <c r="M48" s="142"/>
      <c r="N48" s="173"/>
      <c r="O48" s="284"/>
      <c r="P48" s="320"/>
      <c r="Q48" s="142"/>
      <c r="R48" s="142"/>
      <c r="S48" s="318"/>
      <c r="T48" s="173"/>
      <c r="U48" s="223"/>
      <c r="V48" s="320"/>
      <c r="W48" s="142"/>
      <c r="X48" s="142"/>
      <c r="Y48" s="318"/>
      <c r="Z48" s="173"/>
      <c r="AA48" s="75"/>
      <c r="AB48" s="142"/>
      <c r="AC48" s="75"/>
      <c r="AD48" s="75"/>
      <c r="AE48" s="75"/>
      <c r="AF48" s="75">
        <f t="shared" ca="1" si="0"/>
        <v>0</v>
      </c>
      <c r="AG48" s="5"/>
      <c r="AH48" s="5"/>
    </row>
    <row r="49" spans="1:34" s="1" customFormat="1" ht="45" x14ac:dyDescent="0.25">
      <c r="A49" s="182">
        <v>49</v>
      </c>
      <c r="B49" s="159" t="s">
        <v>314</v>
      </c>
      <c r="C49" s="17" t="s">
        <v>938</v>
      </c>
      <c r="D49" s="93"/>
      <c r="E49" s="290"/>
      <c r="F49" s="75"/>
      <c r="G49" s="5">
        <v>2634811299</v>
      </c>
      <c r="H49" s="5"/>
      <c r="I49" s="5">
        <v>2</v>
      </c>
      <c r="J49" s="183"/>
      <c r="K49" s="244"/>
      <c r="L49" s="142"/>
      <c r="M49" s="142"/>
      <c r="N49" s="173"/>
      <c r="O49" s="284"/>
      <c r="P49" s="320"/>
      <c r="Q49" s="142"/>
      <c r="R49" s="142"/>
      <c r="S49" s="318"/>
      <c r="T49" s="173"/>
      <c r="U49" s="223"/>
      <c r="V49" s="320"/>
      <c r="W49" s="142"/>
      <c r="X49" s="142"/>
      <c r="Y49" s="318"/>
      <c r="Z49" s="173"/>
      <c r="AA49" s="75"/>
      <c r="AB49" s="142"/>
      <c r="AC49" s="75"/>
      <c r="AD49" s="75"/>
      <c r="AE49" s="75"/>
      <c r="AF49" s="75">
        <f t="shared" ca="1" si="0"/>
        <v>0</v>
      </c>
      <c r="AG49" s="5"/>
      <c r="AH49" s="5"/>
    </row>
    <row r="50" spans="1:34" s="1" customFormat="1" ht="60" x14ac:dyDescent="0.25">
      <c r="A50" s="182">
        <v>50</v>
      </c>
      <c r="B50" s="158" t="s">
        <v>223</v>
      </c>
      <c r="C50" s="17" t="s">
        <v>939</v>
      </c>
      <c r="D50" s="93"/>
      <c r="E50" s="290"/>
      <c r="F50" s="75"/>
      <c r="G50" s="5">
        <v>2634803347</v>
      </c>
      <c r="H50" s="79"/>
      <c r="I50" s="78"/>
      <c r="J50" s="183">
        <v>2</v>
      </c>
      <c r="K50" s="244"/>
      <c r="L50" s="142"/>
      <c r="M50" s="142"/>
      <c r="N50" s="173"/>
      <c r="O50" s="284"/>
      <c r="P50" s="320"/>
      <c r="Q50" s="142"/>
      <c r="R50" s="142"/>
      <c r="S50" s="318"/>
      <c r="T50" s="173"/>
      <c r="U50" s="223"/>
      <c r="V50" s="320"/>
      <c r="W50" s="142"/>
      <c r="X50" s="142"/>
      <c r="Y50" s="318"/>
      <c r="Z50" s="173"/>
      <c r="AA50" s="75"/>
      <c r="AB50" s="142"/>
      <c r="AC50" s="75"/>
      <c r="AD50" s="75"/>
      <c r="AE50" s="75"/>
      <c r="AF50" s="75">
        <f t="shared" ca="1" si="0"/>
        <v>0</v>
      </c>
      <c r="AG50" s="5"/>
      <c r="AH50" s="5"/>
    </row>
    <row r="51" spans="1:34" s="1" customFormat="1" ht="45" x14ac:dyDescent="0.25">
      <c r="A51" s="182">
        <v>51</v>
      </c>
      <c r="B51" s="158" t="s">
        <v>15</v>
      </c>
      <c r="C51" s="17" t="s">
        <v>940</v>
      </c>
      <c r="D51" s="221" t="s">
        <v>644</v>
      </c>
      <c r="E51" s="289">
        <v>44561</v>
      </c>
      <c r="F51" s="5" t="s">
        <v>33</v>
      </c>
      <c r="G51" s="5">
        <v>2635221969</v>
      </c>
      <c r="H51" s="5"/>
      <c r="I51" s="78"/>
      <c r="J51" s="183">
        <v>1</v>
      </c>
      <c r="K51" s="177"/>
      <c r="L51" s="142"/>
      <c r="M51" s="142"/>
      <c r="N51" s="173"/>
      <c r="O51" s="284"/>
      <c r="P51" s="320"/>
      <c r="Q51" s="142"/>
      <c r="R51" s="142"/>
      <c r="S51" s="318"/>
      <c r="T51" s="173"/>
      <c r="U51" s="223"/>
      <c r="V51" s="320"/>
      <c r="W51" s="142"/>
      <c r="X51" s="142"/>
      <c r="Y51" s="318"/>
      <c r="Z51" s="173"/>
      <c r="AA51" s="75"/>
      <c r="AB51" s="75"/>
      <c r="AC51" s="75"/>
      <c r="AD51" s="75"/>
      <c r="AE51" s="75"/>
      <c r="AF51" s="75">
        <f t="shared" ca="1" si="0"/>
        <v>0</v>
      </c>
      <c r="AG51" s="5"/>
      <c r="AH51" s="5"/>
    </row>
    <row r="52" spans="1:34" s="1" customFormat="1" ht="60" x14ac:dyDescent="0.25">
      <c r="A52" s="182">
        <v>52</v>
      </c>
      <c r="B52" s="159" t="s">
        <v>273</v>
      </c>
      <c r="C52" s="17" t="s">
        <v>941</v>
      </c>
      <c r="D52" s="93"/>
      <c r="E52" s="290"/>
      <c r="F52" s="75"/>
      <c r="G52" s="5">
        <v>2635060581</v>
      </c>
      <c r="H52" s="5"/>
      <c r="I52" s="75">
        <v>3</v>
      </c>
      <c r="J52" s="183"/>
      <c r="K52" s="177"/>
      <c r="L52" s="142"/>
      <c r="M52" s="142"/>
      <c r="N52" s="173"/>
      <c r="O52" s="284"/>
      <c r="P52" s="320"/>
      <c r="Q52" s="142"/>
      <c r="R52" s="142"/>
      <c r="S52" s="318"/>
      <c r="T52" s="173"/>
      <c r="U52" s="223"/>
      <c r="V52" s="320"/>
      <c r="W52" s="142"/>
      <c r="X52" s="142"/>
      <c r="Y52" s="318"/>
      <c r="Z52" s="173"/>
      <c r="AA52" s="75"/>
      <c r="AB52" s="142"/>
      <c r="AC52" s="75"/>
      <c r="AD52" s="75"/>
      <c r="AE52" s="75"/>
      <c r="AF52" s="75">
        <f t="shared" ca="1" si="0"/>
        <v>0</v>
      </c>
      <c r="AG52" s="5"/>
      <c r="AH52" s="5"/>
    </row>
    <row r="53" spans="1:34" s="1" customFormat="1" ht="60" x14ac:dyDescent="0.25">
      <c r="A53" s="182">
        <v>53</v>
      </c>
      <c r="B53" s="158" t="s">
        <v>134</v>
      </c>
      <c r="C53" s="17" t="s">
        <v>942</v>
      </c>
      <c r="D53" s="93"/>
      <c r="E53" s="290"/>
      <c r="F53" s="75"/>
      <c r="G53" s="5">
        <v>2634101490</v>
      </c>
      <c r="H53" s="78"/>
      <c r="I53" s="78">
        <v>1</v>
      </c>
      <c r="J53" s="183">
        <v>3</v>
      </c>
      <c r="K53" s="177"/>
      <c r="L53" s="142"/>
      <c r="M53" s="142"/>
      <c r="N53" s="173"/>
      <c r="O53" s="284"/>
      <c r="P53" s="320"/>
      <c r="Q53" s="142"/>
      <c r="R53" s="142"/>
      <c r="S53" s="318"/>
      <c r="T53" s="173"/>
      <c r="U53" s="223"/>
      <c r="V53" s="320"/>
      <c r="W53" s="142"/>
      <c r="X53" s="142"/>
      <c r="Y53" s="318"/>
      <c r="Z53" s="173"/>
      <c r="AA53" s="75"/>
      <c r="AB53" s="142"/>
      <c r="AC53" s="75"/>
      <c r="AD53" s="75"/>
      <c r="AE53" s="75"/>
      <c r="AF53" s="75">
        <f t="shared" ca="1" si="0"/>
        <v>0</v>
      </c>
      <c r="AG53" s="5"/>
      <c r="AH53" s="5"/>
    </row>
    <row r="54" spans="1:34" s="1" customFormat="1" ht="60" x14ac:dyDescent="0.25">
      <c r="A54" s="182">
        <v>54</v>
      </c>
      <c r="B54" s="158" t="s">
        <v>390</v>
      </c>
      <c r="C54" s="17" t="s">
        <v>943</v>
      </c>
      <c r="D54" s="93"/>
      <c r="E54" s="290"/>
      <c r="F54" s="75"/>
      <c r="G54" s="5">
        <v>2634813553</v>
      </c>
      <c r="H54" s="79"/>
      <c r="I54" s="78">
        <v>1</v>
      </c>
      <c r="J54" s="184">
        <v>1</v>
      </c>
      <c r="K54" s="177"/>
      <c r="L54" s="142"/>
      <c r="M54" s="142"/>
      <c r="N54" s="173"/>
      <c r="O54" s="284"/>
      <c r="P54" s="320"/>
      <c r="Q54" s="142"/>
      <c r="R54" s="142"/>
      <c r="S54" s="318"/>
      <c r="T54" s="173"/>
      <c r="U54" s="223"/>
      <c r="V54" s="320"/>
      <c r="W54" s="142"/>
      <c r="X54" s="142"/>
      <c r="Y54" s="318"/>
      <c r="Z54" s="173"/>
      <c r="AA54" s="75"/>
      <c r="AB54" s="142"/>
      <c r="AC54" s="75"/>
      <c r="AD54" s="75"/>
      <c r="AE54" s="75"/>
      <c r="AF54" s="75">
        <f t="shared" ca="1" si="0"/>
        <v>0</v>
      </c>
      <c r="AG54" s="5"/>
      <c r="AH54" s="5"/>
    </row>
    <row r="55" spans="1:34" s="1" customFormat="1" ht="75" x14ac:dyDescent="0.25">
      <c r="A55" s="182">
        <v>55</v>
      </c>
      <c r="B55" s="158" t="s">
        <v>139</v>
      </c>
      <c r="C55" s="17" t="s">
        <v>944</v>
      </c>
      <c r="D55" s="93"/>
      <c r="E55" s="290"/>
      <c r="F55" s="75"/>
      <c r="G55" s="5">
        <v>2634077208</v>
      </c>
      <c r="H55" s="5"/>
      <c r="I55" s="5">
        <v>1</v>
      </c>
      <c r="J55" s="183"/>
      <c r="K55" s="244"/>
      <c r="L55" s="142"/>
      <c r="M55" s="142"/>
      <c r="N55" s="173"/>
      <c r="O55" s="284"/>
      <c r="P55" s="320"/>
      <c r="Q55" s="142"/>
      <c r="R55" s="142"/>
      <c r="S55" s="318"/>
      <c r="T55" s="173"/>
      <c r="U55" s="223"/>
      <c r="V55" s="343"/>
      <c r="W55" s="142"/>
      <c r="X55" s="142"/>
      <c r="Y55" s="318"/>
      <c r="Z55" s="173"/>
      <c r="AA55" s="75"/>
      <c r="AB55" s="142"/>
      <c r="AC55" s="75"/>
      <c r="AD55" s="75"/>
      <c r="AE55" s="75"/>
      <c r="AF55" s="75">
        <f t="shared" ca="1" si="0"/>
        <v>0</v>
      </c>
      <c r="AG55" s="5"/>
      <c r="AH55" s="5"/>
    </row>
    <row r="56" spans="1:34" s="1" customFormat="1" ht="60" x14ac:dyDescent="0.25">
      <c r="A56" s="182">
        <v>56</v>
      </c>
      <c r="B56" s="158" t="s">
        <v>212</v>
      </c>
      <c r="C56" s="17" t="s">
        <v>945</v>
      </c>
      <c r="D56" s="93"/>
      <c r="E56" s="290"/>
      <c r="F56" s="75"/>
      <c r="G56" s="5">
        <v>2635134106</v>
      </c>
      <c r="H56" s="79"/>
      <c r="I56" s="78"/>
      <c r="J56" s="183">
        <v>1</v>
      </c>
      <c r="K56" s="244"/>
      <c r="L56" s="142"/>
      <c r="M56" s="142"/>
      <c r="N56" s="173"/>
      <c r="O56" s="284"/>
      <c r="P56" s="320"/>
      <c r="Q56" s="142"/>
      <c r="R56" s="142"/>
      <c r="S56" s="318"/>
      <c r="T56" s="173"/>
      <c r="U56" s="223"/>
      <c r="V56" s="343"/>
      <c r="W56" s="142"/>
      <c r="X56" s="142"/>
      <c r="Y56" s="318"/>
      <c r="Z56" s="173"/>
      <c r="AA56" s="75"/>
      <c r="AB56" s="142"/>
      <c r="AC56" s="75"/>
      <c r="AD56" s="75"/>
      <c r="AE56" s="75"/>
      <c r="AF56" s="75">
        <f t="shared" ca="1" si="0"/>
        <v>0</v>
      </c>
      <c r="AG56" s="5"/>
      <c r="AH56" s="5"/>
    </row>
    <row r="57" spans="1:34" s="1" customFormat="1" ht="90" x14ac:dyDescent="0.25">
      <c r="A57" s="182">
        <v>57</v>
      </c>
      <c r="B57" s="158" t="s">
        <v>25</v>
      </c>
      <c r="C57" s="17" t="s">
        <v>946</v>
      </c>
      <c r="D57" s="93"/>
      <c r="E57" s="290"/>
      <c r="F57" s="5"/>
      <c r="G57" s="5">
        <v>2634069743</v>
      </c>
      <c r="H57" s="5"/>
      <c r="I57" s="79">
        <v>12</v>
      </c>
      <c r="J57" s="183"/>
      <c r="K57" s="244"/>
      <c r="L57" s="142"/>
      <c r="M57" s="142"/>
      <c r="N57" s="173"/>
      <c r="O57" s="284"/>
      <c r="P57" s="318"/>
      <c r="Q57" s="142"/>
      <c r="R57" s="142"/>
      <c r="S57" s="318"/>
      <c r="T57" s="173"/>
      <c r="U57" s="223"/>
      <c r="V57" s="343"/>
      <c r="W57" s="142"/>
      <c r="X57" s="142"/>
      <c r="Y57" s="318"/>
      <c r="Z57" s="173"/>
      <c r="AA57" s="75"/>
      <c r="AB57" s="75"/>
      <c r="AC57" s="75"/>
      <c r="AD57" s="75"/>
      <c r="AE57" s="75"/>
      <c r="AF57" s="75">
        <f t="shared" ca="1" si="0"/>
        <v>0</v>
      </c>
      <c r="AG57" s="5"/>
      <c r="AH57" s="5"/>
    </row>
    <row r="58" spans="1:34" s="1" customFormat="1" ht="60" x14ac:dyDescent="0.25">
      <c r="A58" s="182">
        <v>58</v>
      </c>
      <c r="B58" s="158" t="s">
        <v>517</v>
      </c>
      <c r="C58" s="17" t="s">
        <v>947</v>
      </c>
      <c r="D58" s="93"/>
      <c r="E58" s="290"/>
      <c r="F58" s="5"/>
      <c r="G58" s="5">
        <v>2634069743</v>
      </c>
      <c r="H58" s="5"/>
      <c r="I58" s="79">
        <v>2</v>
      </c>
      <c r="J58" s="183"/>
      <c r="K58" s="244"/>
      <c r="L58" s="142"/>
      <c r="M58" s="142"/>
      <c r="N58" s="173"/>
      <c r="O58" s="284"/>
      <c r="P58" s="75"/>
      <c r="Q58" s="75"/>
      <c r="R58" s="75"/>
      <c r="S58" s="319"/>
      <c r="T58" s="75"/>
      <c r="U58" s="223"/>
      <c r="V58" s="177"/>
      <c r="W58" s="142"/>
      <c r="X58" s="142"/>
      <c r="Y58" s="142"/>
      <c r="Z58" s="173"/>
      <c r="AA58" s="75"/>
      <c r="AB58" s="75"/>
      <c r="AC58" s="75"/>
      <c r="AD58" s="75"/>
      <c r="AE58" s="75"/>
      <c r="AF58" s="75">
        <f t="shared" ca="1" si="0"/>
        <v>0</v>
      </c>
      <c r="AG58" s="5"/>
      <c r="AH58" s="5"/>
    </row>
    <row r="59" spans="1:34" s="1" customFormat="1" ht="60" x14ac:dyDescent="0.25">
      <c r="A59" s="182">
        <v>59</v>
      </c>
      <c r="B59" s="158" t="s">
        <v>140</v>
      </c>
      <c r="C59" s="17" t="s">
        <v>1068</v>
      </c>
      <c r="D59" s="93"/>
      <c r="E59" s="290"/>
      <c r="F59" s="75"/>
      <c r="G59" s="5">
        <v>2634079300</v>
      </c>
      <c r="H59" s="5"/>
      <c r="I59" s="5">
        <v>2</v>
      </c>
      <c r="J59" s="183"/>
      <c r="K59" s="244"/>
      <c r="L59" s="142"/>
      <c r="M59" s="142"/>
      <c r="N59" s="173"/>
      <c r="O59" s="284"/>
      <c r="P59" s="320"/>
      <c r="Q59" s="142"/>
      <c r="R59" s="142"/>
      <c r="S59" s="318"/>
      <c r="T59" s="173"/>
      <c r="U59" s="223"/>
      <c r="V59" s="320"/>
      <c r="W59" s="142"/>
      <c r="X59" s="142"/>
      <c r="Y59" s="318"/>
      <c r="Z59" s="173"/>
      <c r="AA59" s="75"/>
      <c r="AB59" s="142"/>
      <c r="AC59" s="75"/>
      <c r="AD59" s="75"/>
      <c r="AE59" s="75"/>
      <c r="AF59" s="75">
        <f t="shared" ca="1" si="0"/>
        <v>0</v>
      </c>
      <c r="AG59" s="5"/>
      <c r="AH59" s="5"/>
    </row>
    <row r="60" spans="1:34" s="1" customFormat="1" ht="14.25" hidden="1" customHeight="1" x14ac:dyDescent="0.25">
      <c r="A60" s="182">
        <v>60</v>
      </c>
      <c r="B60" s="25" t="s">
        <v>432</v>
      </c>
      <c r="C60" s="25" t="s">
        <v>948</v>
      </c>
      <c r="D60" s="25"/>
      <c r="E60" s="323"/>
      <c r="F60" s="26"/>
      <c r="G60" s="26">
        <v>2636044215</v>
      </c>
      <c r="H60" s="5"/>
      <c r="I60" s="5"/>
      <c r="J60" s="183"/>
      <c r="K60" s="177"/>
      <c r="L60" s="142"/>
      <c r="M60" s="142"/>
      <c r="N60" s="173"/>
      <c r="O60" s="284"/>
      <c r="P60" s="177"/>
      <c r="Q60" s="142"/>
      <c r="R60" s="142"/>
      <c r="S60" s="318"/>
      <c r="T60" s="173"/>
      <c r="U60" s="223"/>
      <c r="V60" s="142"/>
      <c r="W60" s="142"/>
      <c r="X60" s="142"/>
      <c r="Y60" s="142"/>
      <c r="Z60" s="142"/>
      <c r="AA60" s="75"/>
      <c r="AB60" s="142"/>
      <c r="AC60" s="75"/>
      <c r="AD60" s="75"/>
      <c r="AE60" s="75"/>
      <c r="AF60" s="75">
        <f t="shared" ca="1" si="0"/>
        <v>0</v>
      </c>
      <c r="AG60" s="5"/>
      <c r="AH60" s="5"/>
    </row>
    <row r="61" spans="1:34" s="1" customFormat="1" ht="75" x14ac:dyDescent="0.25">
      <c r="A61" s="182">
        <v>61</v>
      </c>
      <c r="B61" s="17" t="s">
        <v>244</v>
      </c>
      <c r="C61" s="17" t="s">
        <v>949</v>
      </c>
      <c r="D61" s="93"/>
      <c r="E61" s="290"/>
      <c r="F61" s="75"/>
      <c r="G61" s="5">
        <v>2634051753</v>
      </c>
      <c r="H61" s="5"/>
      <c r="I61" s="5"/>
      <c r="J61" s="183">
        <v>10</v>
      </c>
      <c r="K61" s="177"/>
      <c r="L61" s="142"/>
      <c r="M61" s="142"/>
      <c r="N61" s="173"/>
      <c r="O61" s="284"/>
      <c r="P61" s="343"/>
      <c r="Q61" s="142"/>
      <c r="R61" s="142"/>
      <c r="S61" s="318"/>
      <c r="T61" s="173"/>
      <c r="U61" s="223"/>
      <c r="V61" s="343"/>
      <c r="W61" s="142"/>
      <c r="X61" s="142"/>
      <c r="Y61" s="318"/>
      <c r="Z61" s="173"/>
      <c r="AA61" s="75"/>
      <c r="AB61" s="142"/>
      <c r="AC61" s="142"/>
      <c r="AD61" s="75"/>
      <c r="AE61" s="75"/>
      <c r="AF61" s="75">
        <f t="shared" ca="1" si="0"/>
        <v>0</v>
      </c>
      <c r="AG61" s="5"/>
      <c r="AH61" s="5"/>
    </row>
    <row r="62" spans="1:34" s="1" customFormat="1" ht="75" x14ac:dyDescent="0.25">
      <c r="A62" s="182">
        <v>62</v>
      </c>
      <c r="B62" s="17" t="s">
        <v>446</v>
      </c>
      <c r="C62" s="17" t="s">
        <v>950</v>
      </c>
      <c r="D62" s="201" t="s">
        <v>1037</v>
      </c>
      <c r="E62" s="297">
        <v>44216</v>
      </c>
      <c r="F62" s="75" t="s">
        <v>33</v>
      </c>
      <c r="G62" s="5">
        <v>2636032629</v>
      </c>
      <c r="H62" s="5"/>
      <c r="I62" s="5">
        <v>2</v>
      </c>
      <c r="J62" s="183"/>
      <c r="K62" s="177"/>
      <c r="L62" s="142"/>
      <c r="M62" s="142"/>
      <c r="N62" s="173"/>
      <c r="O62" s="284"/>
      <c r="P62" s="343"/>
      <c r="Q62" s="142"/>
      <c r="R62" s="142"/>
      <c r="S62" s="318"/>
      <c r="T62" s="173"/>
      <c r="U62" s="223"/>
      <c r="V62" s="343"/>
      <c r="W62" s="142"/>
      <c r="X62" s="142"/>
      <c r="Y62" s="318"/>
      <c r="Z62" s="173"/>
      <c r="AA62" s="75"/>
      <c r="AB62" s="142"/>
      <c r="AC62" s="75"/>
      <c r="AD62" s="75"/>
      <c r="AE62" s="75"/>
      <c r="AF62" s="75">
        <f t="shared" ca="1" si="0"/>
        <v>0</v>
      </c>
      <c r="AG62" s="5"/>
      <c r="AH62" s="5"/>
    </row>
    <row r="63" spans="1:34" s="1" customFormat="1" ht="90" x14ac:dyDescent="0.25">
      <c r="A63" s="182">
        <v>63</v>
      </c>
      <c r="B63" s="17" t="s">
        <v>1158</v>
      </c>
      <c r="C63" s="17" t="s">
        <v>1159</v>
      </c>
      <c r="D63" s="247" t="s">
        <v>1160</v>
      </c>
      <c r="E63" s="298">
        <v>44561</v>
      </c>
      <c r="F63" s="5" t="s">
        <v>33</v>
      </c>
      <c r="G63" s="5">
        <v>2621800525</v>
      </c>
      <c r="H63" s="5"/>
      <c r="I63" s="5">
        <v>1</v>
      </c>
      <c r="J63" s="183"/>
      <c r="K63" s="177"/>
      <c r="L63" s="142"/>
      <c r="M63" s="142"/>
      <c r="N63" s="173"/>
      <c r="O63" s="284"/>
      <c r="P63" s="343"/>
      <c r="Q63" s="142"/>
      <c r="R63" s="142"/>
      <c r="S63" s="318"/>
      <c r="T63" s="173"/>
      <c r="U63" s="223"/>
      <c r="V63" s="343"/>
      <c r="W63" s="142"/>
      <c r="X63" s="142"/>
      <c r="Y63" s="318"/>
      <c r="Z63" s="173"/>
      <c r="AA63" s="75"/>
      <c r="AB63" s="142"/>
      <c r="AC63" s="75"/>
      <c r="AD63" s="75"/>
      <c r="AE63" s="75"/>
      <c r="AF63" s="75">
        <f t="shared" ca="1" si="0"/>
        <v>0</v>
      </c>
      <c r="AG63" s="5"/>
      <c r="AH63" s="5"/>
    </row>
    <row r="64" spans="1:34" s="1" customFormat="1" ht="45" x14ac:dyDescent="0.25">
      <c r="A64" s="182">
        <v>64</v>
      </c>
      <c r="B64" s="32" t="s">
        <v>227</v>
      </c>
      <c r="C64" s="32" t="s">
        <v>951</v>
      </c>
      <c r="D64" s="93"/>
      <c r="E64" s="290"/>
      <c r="F64" s="5"/>
      <c r="G64" s="3">
        <v>2633001686</v>
      </c>
      <c r="H64" s="5"/>
      <c r="I64" s="5"/>
      <c r="J64" s="183">
        <v>20</v>
      </c>
      <c r="K64" s="177"/>
      <c r="L64" s="142"/>
      <c r="M64" s="142"/>
      <c r="N64" s="173"/>
      <c r="O64" s="284"/>
      <c r="P64" s="343"/>
      <c r="Q64" s="142"/>
      <c r="R64" s="142"/>
      <c r="S64" s="318"/>
      <c r="T64" s="173"/>
      <c r="U64" s="223"/>
      <c r="V64" s="343"/>
      <c r="W64" s="142"/>
      <c r="X64" s="142"/>
      <c r="Y64" s="318"/>
      <c r="Z64" s="173"/>
      <c r="AA64" s="75"/>
      <c r="AB64" s="142"/>
      <c r="AC64" s="75"/>
      <c r="AD64" s="75"/>
      <c r="AE64" s="75"/>
      <c r="AF64" s="75">
        <f t="shared" ca="1" si="0"/>
        <v>0</v>
      </c>
      <c r="AG64" s="5"/>
      <c r="AH64" s="5"/>
    </row>
    <row r="65" spans="1:34" s="1" customFormat="1" ht="60" x14ac:dyDescent="0.25">
      <c r="A65" s="182">
        <v>65</v>
      </c>
      <c r="B65" s="32" t="s">
        <v>160</v>
      </c>
      <c r="C65" s="32" t="s">
        <v>952</v>
      </c>
      <c r="D65" s="93"/>
      <c r="E65" s="290"/>
      <c r="F65" s="5"/>
      <c r="G65" s="3">
        <v>2633002873</v>
      </c>
      <c r="H65" s="5"/>
      <c r="I65" s="5"/>
      <c r="J65" s="183">
        <v>22</v>
      </c>
      <c r="K65" s="177"/>
      <c r="L65" s="142"/>
      <c r="M65" s="142"/>
      <c r="N65" s="173"/>
      <c r="O65" s="284"/>
      <c r="P65" s="343"/>
      <c r="Q65" s="142"/>
      <c r="R65" s="142"/>
      <c r="S65" s="318"/>
      <c r="T65" s="173"/>
      <c r="U65" s="223"/>
      <c r="V65" s="343"/>
      <c r="W65" s="142"/>
      <c r="X65" s="142"/>
      <c r="Y65" s="318"/>
      <c r="Z65" s="173"/>
      <c r="AA65" s="75"/>
      <c r="AB65" s="142"/>
      <c r="AC65" s="75"/>
      <c r="AD65" s="75"/>
      <c r="AE65" s="75"/>
      <c r="AF65" s="75">
        <f ca="1">ЦветЯчейки</f>
        <v>0</v>
      </c>
      <c r="AG65" s="5"/>
      <c r="AH65" s="5"/>
    </row>
    <row r="66" spans="1:34" s="1" customFormat="1" ht="11.25" hidden="1" customHeight="1" x14ac:dyDescent="0.25">
      <c r="A66" s="182">
        <v>66</v>
      </c>
      <c r="B66" s="47" t="s">
        <v>549</v>
      </c>
      <c r="C66" s="47" t="s">
        <v>953</v>
      </c>
      <c r="D66" s="225" t="s">
        <v>686</v>
      </c>
      <c r="E66" s="293"/>
      <c r="F66" s="8"/>
      <c r="G66" s="8">
        <v>2633001140</v>
      </c>
      <c r="H66" s="5"/>
      <c r="I66" s="5"/>
      <c r="J66" s="183"/>
      <c r="K66" s="177"/>
      <c r="L66" s="142"/>
      <c r="M66" s="142"/>
      <c r="N66" s="173"/>
      <c r="O66" s="284"/>
      <c r="P66" s="177"/>
      <c r="Q66" s="142"/>
      <c r="R66" s="142"/>
      <c r="S66" s="318"/>
      <c r="T66" s="173"/>
      <c r="U66" s="223"/>
      <c r="V66" s="177"/>
      <c r="W66" s="142"/>
      <c r="X66" s="142"/>
      <c r="Y66" s="142"/>
      <c r="Z66" s="173"/>
      <c r="AA66" s="75"/>
      <c r="AB66" s="142"/>
      <c r="AC66" s="75"/>
      <c r="AD66" s="75"/>
      <c r="AE66" s="75"/>
      <c r="AF66" s="75">
        <f ca="1">ЦветЯчейки</f>
        <v>0</v>
      </c>
      <c r="AG66" s="5"/>
      <c r="AH66" s="5"/>
    </row>
    <row r="67" spans="1:34" s="1" customFormat="1" ht="60" x14ac:dyDescent="0.25">
      <c r="A67" s="182">
        <v>67</v>
      </c>
      <c r="B67" s="32" t="s">
        <v>529</v>
      </c>
      <c r="C67" s="32" t="s">
        <v>954</v>
      </c>
      <c r="D67" s="93"/>
      <c r="E67" s="296"/>
      <c r="F67" s="10"/>
      <c r="G67" s="3">
        <v>2635104983</v>
      </c>
      <c r="H67" s="5"/>
      <c r="I67" s="5">
        <v>1</v>
      </c>
      <c r="J67" s="183"/>
      <c r="K67" s="177"/>
      <c r="L67" s="142"/>
      <c r="M67" s="142"/>
      <c r="N67" s="173"/>
      <c r="O67" s="284"/>
      <c r="P67" s="343"/>
      <c r="Q67" s="142"/>
      <c r="R67" s="142"/>
      <c r="S67" s="318"/>
      <c r="T67" s="173"/>
      <c r="U67" s="223"/>
      <c r="V67" s="343"/>
      <c r="W67" s="142"/>
      <c r="X67" s="142"/>
      <c r="Y67" s="318"/>
      <c r="Z67" s="173"/>
      <c r="AA67" s="75"/>
      <c r="AB67" s="142"/>
      <c r="AC67" s="75"/>
      <c r="AD67" s="75"/>
      <c r="AE67" s="75"/>
      <c r="AF67" s="75">
        <f ca="1">ЦветЯчейки</f>
        <v>0</v>
      </c>
      <c r="AG67" s="5"/>
      <c r="AH67" s="5"/>
    </row>
    <row r="68" spans="1:34" s="1" customFormat="1" ht="60" x14ac:dyDescent="0.25">
      <c r="A68" s="182">
        <v>68</v>
      </c>
      <c r="B68" s="32" t="s">
        <v>556</v>
      </c>
      <c r="C68" s="32" t="s">
        <v>955</v>
      </c>
      <c r="D68" s="93"/>
      <c r="E68" s="296"/>
      <c r="F68" s="10"/>
      <c r="G68" s="3">
        <v>2635219920</v>
      </c>
      <c r="H68" s="5"/>
      <c r="I68" s="5">
        <v>1</v>
      </c>
      <c r="J68" s="183"/>
      <c r="K68" s="177"/>
      <c r="L68" s="142"/>
      <c r="M68" s="142"/>
      <c r="N68" s="173"/>
      <c r="O68" s="284"/>
      <c r="P68" s="343"/>
      <c r="Q68" s="142"/>
      <c r="R68" s="142"/>
      <c r="S68" s="318"/>
      <c r="T68" s="173"/>
      <c r="U68" s="223"/>
      <c r="V68" s="142"/>
      <c r="W68" s="142"/>
      <c r="X68" s="142"/>
      <c r="Y68" s="142"/>
      <c r="Z68" s="142"/>
      <c r="AA68" s="75"/>
      <c r="AB68" s="142"/>
      <c r="AC68" s="75"/>
      <c r="AD68" s="75"/>
      <c r="AE68" s="75"/>
      <c r="AF68" s="75">
        <f ca="1">ЦветЯчейки</f>
        <v>0</v>
      </c>
      <c r="AG68" s="5"/>
      <c r="AH68" s="5"/>
    </row>
    <row r="69" spans="1:34" s="1" customFormat="1" ht="60" x14ac:dyDescent="0.25">
      <c r="A69" s="182">
        <v>69</v>
      </c>
      <c r="B69" s="32" t="s">
        <v>570</v>
      </c>
      <c r="C69" s="32" t="s">
        <v>956</v>
      </c>
      <c r="D69" s="93"/>
      <c r="E69" s="307"/>
      <c r="F69" s="10"/>
      <c r="G69" s="3">
        <v>2633003010</v>
      </c>
      <c r="H69" s="5"/>
      <c r="I69" s="5">
        <v>7</v>
      </c>
      <c r="J69" s="183"/>
      <c r="K69" s="177"/>
      <c r="L69" s="142"/>
      <c r="M69" s="142"/>
      <c r="N69" s="173"/>
      <c r="O69" s="284"/>
      <c r="P69" s="318"/>
      <c r="Q69" s="142"/>
      <c r="R69" s="142"/>
      <c r="S69" s="318"/>
      <c r="T69" s="173"/>
      <c r="U69" s="223"/>
      <c r="V69" s="343"/>
      <c r="W69" s="142"/>
      <c r="X69" s="142"/>
      <c r="Y69" s="318"/>
      <c r="Z69" s="173"/>
      <c r="AA69" s="75"/>
      <c r="AB69" s="142"/>
      <c r="AC69" s="75"/>
      <c r="AD69" s="75"/>
      <c r="AE69" s="75"/>
      <c r="AF69" s="75">
        <f ca="1">ЦветЯчейки</f>
        <v>0</v>
      </c>
      <c r="AG69" s="5"/>
      <c r="AH69" s="5"/>
    </row>
    <row r="70" spans="1:34" s="1" customFormat="1" ht="75" x14ac:dyDescent="0.25">
      <c r="A70" s="182">
        <v>70</v>
      </c>
      <c r="B70" s="32" t="s">
        <v>588</v>
      </c>
      <c r="C70" s="32" t="s">
        <v>957</v>
      </c>
      <c r="D70" s="93"/>
      <c r="E70" s="307"/>
      <c r="F70" s="10"/>
      <c r="G70" s="3">
        <v>2634102849</v>
      </c>
      <c r="H70" s="5"/>
      <c r="I70" s="5">
        <v>4</v>
      </c>
      <c r="J70" s="183"/>
      <c r="K70" s="177"/>
      <c r="L70" s="142"/>
      <c r="M70" s="142"/>
      <c r="N70" s="173"/>
      <c r="O70" s="284"/>
      <c r="P70" s="343"/>
      <c r="Q70" s="142"/>
      <c r="R70" s="142"/>
      <c r="S70" s="318"/>
      <c r="T70" s="173"/>
      <c r="U70" s="223"/>
      <c r="V70" s="142"/>
      <c r="W70" s="142"/>
      <c r="X70" s="142"/>
      <c r="Y70" s="142"/>
      <c r="Z70" s="142"/>
      <c r="AA70" s="75"/>
      <c r="AB70" s="142"/>
      <c r="AC70" s="142"/>
      <c r="AD70" s="75"/>
      <c r="AE70" s="75"/>
      <c r="AF70" s="75">
        <f ca="1">ЦветЯчейки</f>
        <v>0</v>
      </c>
      <c r="AG70" s="5"/>
      <c r="AH70" s="5"/>
    </row>
    <row r="71" spans="1:34" s="1" customFormat="1" ht="69.75" customHeight="1" x14ac:dyDescent="0.25">
      <c r="A71" s="182">
        <v>71</v>
      </c>
      <c r="B71" s="32" t="s">
        <v>682</v>
      </c>
      <c r="C71" s="46" t="s">
        <v>958</v>
      </c>
      <c r="D71" s="93"/>
      <c r="E71" s="307"/>
      <c r="F71" s="10"/>
      <c r="G71" s="3">
        <v>2635807986</v>
      </c>
      <c r="H71" s="5"/>
      <c r="I71" s="5"/>
      <c r="J71" s="183">
        <v>1</v>
      </c>
      <c r="K71" s="177"/>
      <c r="L71" s="142"/>
      <c r="M71" s="142"/>
      <c r="N71" s="173"/>
      <c r="O71" s="284"/>
      <c r="P71" s="343"/>
      <c r="Q71" s="142"/>
      <c r="R71" s="142"/>
      <c r="S71" s="318"/>
      <c r="T71" s="173"/>
      <c r="U71" s="223"/>
      <c r="V71" s="142"/>
      <c r="W71" s="142"/>
      <c r="X71" s="142"/>
      <c r="Y71" s="142"/>
      <c r="Z71" s="142"/>
      <c r="AA71" s="75"/>
      <c r="AB71" s="142"/>
      <c r="AC71" s="142"/>
      <c r="AD71" s="75"/>
      <c r="AE71" s="75"/>
      <c r="AF71" s="75">
        <f ca="1">ЦветЯчейки</f>
        <v>0</v>
      </c>
      <c r="AG71" s="5"/>
      <c r="AH71" s="5"/>
    </row>
    <row r="72" spans="1:34" s="1" customFormat="1" ht="69.75" customHeight="1" x14ac:dyDescent="0.25">
      <c r="A72" s="182">
        <v>72</v>
      </c>
      <c r="B72" s="32" t="s">
        <v>1054</v>
      </c>
      <c r="C72" s="46" t="s">
        <v>1056</v>
      </c>
      <c r="D72" s="93"/>
      <c r="E72" s="307"/>
      <c r="F72" s="10"/>
      <c r="G72" s="3">
        <v>2633004253</v>
      </c>
      <c r="H72" s="5"/>
      <c r="I72" s="5"/>
      <c r="J72" s="183">
        <v>2</v>
      </c>
      <c r="K72" s="177"/>
      <c r="L72" s="142"/>
      <c r="M72" s="142"/>
      <c r="N72" s="173"/>
      <c r="O72" s="284"/>
      <c r="P72" s="343"/>
      <c r="Q72" s="142"/>
      <c r="R72" s="142"/>
      <c r="S72" s="318"/>
      <c r="T72" s="173"/>
      <c r="U72" s="223"/>
      <c r="V72" s="343"/>
      <c r="W72" s="142"/>
      <c r="X72" s="142"/>
      <c r="Y72" s="318"/>
      <c r="Z72" s="173"/>
      <c r="AA72" s="75"/>
      <c r="AB72" s="142"/>
      <c r="AC72" s="142"/>
      <c r="AD72" s="75"/>
      <c r="AE72" s="75"/>
      <c r="AF72" s="75">
        <f ca="1">ЦветЯчейки</f>
        <v>0</v>
      </c>
      <c r="AG72" s="5"/>
      <c r="AH72" s="5"/>
    </row>
    <row r="73" spans="1:34" s="1" customFormat="1" ht="60" x14ac:dyDescent="0.25">
      <c r="A73" s="182">
        <v>99</v>
      </c>
      <c r="B73" s="32" t="s">
        <v>510</v>
      </c>
      <c r="C73" s="32" t="s">
        <v>985</v>
      </c>
      <c r="D73" s="93"/>
      <c r="E73" s="307"/>
      <c r="F73" s="10"/>
      <c r="G73" s="3">
        <v>5835121251</v>
      </c>
      <c r="H73" s="5"/>
      <c r="I73" s="5"/>
      <c r="J73" s="183">
        <v>10</v>
      </c>
      <c r="K73" s="177"/>
      <c r="L73" s="142"/>
      <c r="M73" s="142"/>
      <c r="N73" s="173"/>
      <c r="O73" s="284"/>
      <c r="P73" s="341"/>
      <c r="Q73" s="142"/>
      <c r="R73" s="136"/>
      <c r="S73" s="320"/>
      <c r="T73" s="173"/>
      <c r="U73" s="223"/>
      <c r="V73" s="142"/>
      <c r="W73" s="142"/>
      <c r="X73" s="142"/>
      <c r="Y73" s="142"/>
      <c r="Z73" s="142"/>
      <c r="AA73" s="75"/>
      <c r="AB73" s="142"/>
      <c r="AC73" s="142"/>
      <c r="AD73" s="142"/>
      <c r="AE73" s="173"/>
      <c r="AF73" s="75">
        <f ca="1">ЦветЯчейки</f>
        <v>0</v>
      </c>
      <c r="AG73" s="75"/>
      <c r="AH73" s="75"/>
    </row>
    <row r="74" spans="1:34" s="1" customFormat="1" ht="75.75" customHeight="1" x14ac:dyDescent="0.25">
      <c r="A74" s="182"/>
      <c r="B74" s="160" t="s">
        <v>340</v>
      </c>
      <c r="C74" s="139" t="s">
        <v>341</v>
      </c>
      <c r="D74" s="93"/>
      <c r="E74" s="307"/>
      <c r="F74" s="75"/>
      <c r="G74" s="5">
        <v>2614018081</v>
      </c>
      <c r="H74" s="5"/>
      <c r="I74" s="5">
        <v>1</v>
      </c>
      <c r="J74" s="183"/>
      <c r="K74" s="177"/>
      <c r="L74" s="142"/>
      <c r="M74" s="142"/>
      <c r="N74" s="173"/>
      <c r="O74" s="284"/>
      <c r="P74" s="343"/>
      <c r="Q74" s="142"/>
      <c r="R74" s="142"/>
      <c r="S74" s="318"/>
      <c r="T74" s="173"/>
      <c r="U74" s="223"/>
      <c r="V74" s="343"/>
      <c r="W74" s="142"/>
      <c r="X74" s="142"/>
      <c r="Y74" s="318"/>
      <c r="Z74" s="173"/>
      <c r="AA74" s="75"/>
      <c r="AB74" s="142"/>
      <c r="AC74" s="142"/>
      <c r="AD74" s="75"/>
      <c r="AE74" s="75"/>
      <c r="AF74" s="75"/>
      <c r="AG74" s="5"/>
      <c r="AH74" s="5"/>
    </row>
    <row r="75" spans="1:34" s="1" customFormat="1" ht="75" x14ac:dyDescent="0.25">
      <c r="A75" s="182">
        <v>73</v>
      </c>
      <c r="B75" s="160" t="s">
        <v>383</v>
      </c>
      <c r="C75" s="139" t="s">
        <v>959</v>
      </c>
      <c r="D75" s="93"/>
      <c r="E75" s="307"/>
      <c r="F75" s="75"/>
      <c r="G75" s="5">
        <v>2602004461</v>
      </c>
      <c r="H75" s="151"/>
      <c r="I75" s="78"/>
      <c r="J75" s="184">
        <v>6</v>
      </c>
      <c r="K75" s="177"/>
      <c r="L75" s="136"/>
      <c r="M75" s="136"/>
      <c r="N75" s="173"/>
      <c r="O75" s="284"/>
      <c r="P75" s="343"/>
      <c r="Q75" s="142"/>
      <c r="R75" s="142"/>
      <c r="S75" s="318"/>
      <c r="T75" s="173"/>
      <c r="U75" s="223"/>
      <c r="V75" s="343"/>
      <c r="W75" s="142"/>
      <c r="X75" s="142"/>
      <c r="Y75" s="318"/>
      <c r="Z75" s="173"/>
      <c r="AA75" s="75"/>
      <c r="AB75" s="142"/>
      <c r="AC75" s="75"/>
      <c r="AD75" s="75"/>
      <c r="AE75" s="75"/>
      <c r="AF75" s="75">
        <f ca="1">ЦветЯчейки</f>
        <v>0</v>
      </c>
      <c r="AG75" s="5"/>
      <c r="AH75" s="5"/>
    </row>
    <row r="76" spans="1:34" s="1" customFormat="1" ht="60" x14ac:dyDescent="0.25">
      <c r="A76" s="182">
        <v>74</v>
      </c>
      <c r="B76" s="160" t="s">
        <v>307</v>
      </c>
      <c r="C76" s="139" t="s">
        <v>960</v>
      </c>
      <c r="D76" s="93"/>
      <c r="E76" s="307"/>
      <c r="F76" s="75"/>
      <c r="G76" s="5">
        <v>2604000303</v>
      </c>
      <c r="H76" s="5"/>
      <c r="I76" s="79">
        <v>7</v>
      </c>
      <c r="J76" s="183"/>
      <c r="K76" s="177"/>
      <c r="L76" s="142"/>
      <c r="M76" s="142"/>
      <c r="N76" s="173"/>
      <c r="O76" s="284"/>
      <c r="P76" s="318"/>
      <c r="Q76" s="142"/>
      <c r="R76" s="142"/>
      <c r="S76" s="318"/>
      <c r="T76" s="173"/>
      <c r="U76" s="223"/>
      <c r="V76" s="343"/>
      <c r="W76" s="142"/>
      <c r="X76" s="142"/>
      <c r="Y76" s="318"/>
      <c r="Z76" s="173"/>
      <c r="AA76" s="75"/>
      <c r="AB76" s="142"/>
      <c r="AC76" s="75"/>
      <c r="AD76" s="75"/>
      <c r="AE76" s="75"/>
      <c r="AF76" s="75">
        <f ca="1">ЦветЯчейки</f>
        <v>0</v>
      </c>
      <c r="AG76" s="5"/>
      <c r="AH76" s="5"/>
    </row>
    <row r="77" spans="1:34" s="1" customFormat="1" ht="75" x14ac:dyDescent="0.25">
      <c r="A77" s="182">
        <v>75</v>
      </c>
      <c r="B77" s="160" t="s">
        <v>393</v>
      </c>
      <c r="C77" s="139" t="s">
        <v>961</v>
      </c>
      <c r="D77" s="93"/>
      <c r="E77" s="307"/>
      <c r="F77" s="75"/>
      <c r="G77" s="5">
        <v>2606007110</v>
      </c>
      <c r="H77" s="79"/>
      <c r="I77" s="78"/>
      <c r="J77" s="184">
        <v>6</v>
      </c>
      <c r="K77" s="177"/>
      <c r="L77" s="142"/>
      <c r="M77" s="142"/>
      <c r="N77" s="173"/>
      <c r="O77" s="284"/>
      <c r="P77" s="318"/>
      <c r="Q77" s="142"/>
      <c r="R77" s="142"/>
      <c r="S77" s="318"/>
      <c r="T77" s="173"/>
      <c r="U77" s="223"/>
      <c r="V77" s="142"/>
      <c r="W77" s="142"/>
      <c r="X77" s="142"/>
      <c r="Y77" s="142"/>
      <c r="Z77" s="173"/>
      <c r="AA77" s="75"/>
      <c r="AB77" s="142"/>
      <c r="AC77" s="75"/>
      <c r="AD77" s="75"/>
      <c r="AE77" s="75"/>
      <c r="AF77" s="75">
        <f ca="1">ЦветЯчейки</f>
        <v>0</v>
      </c>
      <c r="AG77" s="5"/>
      <c r="AH77" s="5"/>
    </row>
    <row r="78" spans="1:34" s="1" customFormat="1" ht="75" x14ac:dyDescent="0.25">
      <c r="A78" s="182">
        <v>76</v>
      </c>
      <c r="B78" s="160" t="s">
        <v>298</v>
      </c>
      <c r="C78" s="139" t="s">
        <v>962</v>
      </c>
      <c r="D78" s="93"/>
      <c r="E78" s="307"/>
      <c r="F78" s="75"/>
      <c r="G78" s="5">
        <v>2607018281</v>
      </c>
      <c r="H78" s="75"/>
      <c r="I78" s="5">
        <v>2</v>
      </c>
      <c r="J78" s="183"/>
      <c r="K78" s="177"/>
      <c r="L78" s="142"/>
      <c r="M78" s="142"/>
      <c r="N78" s="173"/>
      <c r="O78" s="284"/>
      <c r="P78" s="318"/>
      <c r="Q78" s="142"/>
      <c r="R78" s="142"/>
      <c r="S78" s="318"/>
      <c r="T78" s="173"/>
      <c r="U78" s="223"/>
      <c r="V78" s="318"/>
      <c r="W78" s="142"/>
      <c r="X78" s="142"/>
      <c r="Y78" s="318"/>
      <c r="Z78" s="173"/>
      <c r="AA78" s="75"/>
      <c r="AB78" s="142"/>
      <c r="AC78" s="75"/>
      <c r="AD78" s="75"/>
      <c r="AE78" s="75"/>
      <c r="AF78" s="75">
        <f ca="1">ЦветЯчейки</f>
        <v>0</v>
      </c>
      <c r="AG78" s="5"/>
      <c r="AH78" s="5"/>
    </row>
    <row r="79" spans="1:34" s="1" customFormat="1" ht="60" x14ac:dyDescent="0.25">
      <c r="A79" s="182">
        <v>77</v>
      </c>
      <c r="B79" s="160" t="s">
        <v>450</v>
      </c>
      <c r="C79" s="139" t="s">
        <v>963</v>
      </c>
      <c r="D79" s="93"/>
      <c r="E79" s="307"/>
      <c r="F79" s="75"/>
      <c r="G79" s="5">
        <v>2608003721</v>
      </c>
      <c r="H79" s="79"/>
      <c r="I79" s="78">
        <v>16</v>
      </c>
      <c r="J79" s="183"/>
      <c r="K79" s="177"/>
      <c r="L79" s="142"/>
      <c r="M79" s="142"/>
      <c r="N79" s="173"/>
      <c r="O79" s="284"/>
      <c r="P79" s="318"/>
      <c r="Q79" s="142"/>
      <c r="R79" s="136"/>
      <c r="S79" s="318"/>
      <c r="T79" s="173"/>
      <c r="U79" s="223"/>
      <c r="V79" s="318"/>
      <c r="W79" s="142"/>
      <c r="X79" s="142"/>
      <c r="Y79" s="318"/>
      <c r="Z79" s="173"/>
      <c r="AA79" s="75"/>
      <c r="AB79" s="142"/>
      <c r="AC79" s="75"/>
      <c r="AD79" s="75"/>
      <c r="AE79" s="75"/>
      <c r="AF79" s="75">
        <f ca="1">ЦветЯчейки</f>
        <v>0</v>
      </c>
      <c r="AG79" s="5"/>
      <c r="AH79" s="5"/>
    </row>
    <row r="80" spans="1:34" s="1" customFormat="1" ht="60" x14ac:dyDescent="0.25">
      <c r="A80" s="182">
        <v>78</v>
      </c>
      <c r="B80" s="160" t="s">
        <v>368</v>
      </c>
      <c r="C80" s="139" t="s">
        <v>964</v>
      </c>
      <c r="D80" s="93"/>
      <c r="E80" s="307"/>
      <c r="F80" s="75"/>
      <c r="G80" s="5">
        <v>2611005503</v>
      </c>
      <c r="H80" s="79"/>
      <c r="I80" s="78">
        <v>10</v>
      </c>
      <c r="J80" s="183"/>
      <c r="K80" s="177"/>
      <c r="L80" s="142"/>
      <c r="M80" s="142"/>
      <c r="N80" s="173"/>
      <c r="O80" s="284"/>
      <c r="P80" s="318"/>
      <c r="Q80" s="142"/>
      <c r="R80" s="142"/>
      <c r="S80" s="318"/>
      <c r="T80" s="173"/>
      <c r="U80" s="223"/>
      <c r="V80" s="318"/>
      <c r="W80" s="142"/>
      <c r="X80" s="142"/>
      <c r="Y80" s="318"/>
      <c r="Z80" s="173"/>
      <c r="AA80" s="75"/>
      <c r="AB80" s="142"/>
      <c r="AC80" s="75"/>
      <c r="AD80" s="75"/>
      <c r="AE80" s="75"/>
      <c r="AF80" s="75">
        <f ca="1">ЦветЯчейки</f>
        <v>0</v>
      </c>
      <c r="AG80" s="5"/>
      <c r="AH80" s="5"/>
    </row>
    <row r="81" spans="1:34" s="1" customFormat="1" ht="75" x14ac:dyDescent="0.25">
      <c r="A81" s="182">
        <v>79</v>
      </c>
      <c r="B81" s="160" t="s">
        <v>191</v>
      </c>
      <c r="C81" s="139" t="s">
        <v>965</v>
      </c>
      <c r="D81" s="93"/>
      <c r="E81" s="307"/>
      <c r="F81" s="75"/>
      <c r="G81" s="5">
        <v>2608003746</v>
      </c>
      <c r="H81" s="79"/>
      <c r="I81" s="78">
        <v>2</v>
      </c>
      <c r="J81" s="183"/>
      <c r="K81" s="177"/>
      <c r="L81" s="142"/>
      <c r="M81" s="142"/>
      <c r="N81" s="173"/>
      <c r="O81" s="284"/>
      <c r="P81" s="318"/>
      <c r="Q81" s="142"/>
      <c r="R81" s="142"/>
      <c r="S81" s="318"/>
      <c r="T81" s="173"/>
      <c r="U81" s="223"/>
      <c r="V81" s="318"/>
      <c r="W81" s="142"/>
      <c r="X81" s="142"/>
      <c r="Y81" s="318"/>
      <c r="Z81" s="173"/>
      <c r="AA81" s="75"/>
      <c r="AB81" s="142"/>
      <c r="AC81" s="75"/>
      <c r="AD81" s="75"/>
      <c r="AE81" s="75"/>
      <c r="AF81" s="75">
        <f ca="1">ЦветЯчейки</f>
        <v>0</v>
      </c>
      <c r="AG81" s="5"/>
      <c r="AH81" s="5"/>
    </row>
    <row r="82" spans="1:34" s="1" customFormat="1" ht="60" x14ac:dyDescent="0.25">
      <c r="A82" s="182">
        <v>80</v>
      </c>
      <c r="B82" s="160" t="s">
        <v>419</v>
      </c>
      <c r="C82" s="139" t="s">
        <v>966</v>
      </c>
      <c r="D82" s="93"/>
      <c r="E82" s="290"/>
      <c r="F82" s="75"/>
      <c r="G82" s="5">
        <v>2613006870</v>
      </c>
      <c r="H82" s="79"/>
      <c r="I82" s="78"/>
      <c r="J82" s="184">
        <v>10</v>
      </c>
      <c r="K82" s="177"/>
      <c r="L82" s="142"/>
      <c r="M82" s="142"/>
      <c r="N82" s="173"/>
      <c r="O82" s="284"/>
      <c r="P82" s="318"/>
      <c r="Q82" s="142"/>
      <c r="R82" s="142"/>
      <c r="S82" s="318"/>
      <c r="T82" s="173"/>
      <c r="U82" s="223"/>
      <c r="V82" s="318"/>
      <c r="W82" s="142"/>
      <c r="X82" s="142"/>
      <c r="Y82" s="318"/>
      <c r="Z82" s="173"/>
      <c r="AA82" s="75"/>
      <c r="AB82" s="142"/>
      <c r="AC82" s="75"/>
      <c r="AD82" s="75"/>
      <c r="AE82" s="75"/>
      <c r="AF82" s="75">
        <f ca="1">ЦветЯчейки</f>
        <v>0</v>
      </c>
      <c r="AG82" s="5"/>
      <c r="AH82" s="5"/>
    </row>
    <row r="83" spans="1:34" s="1" customFormat="1" ht="51" customHeight="1" x14ac:dyDescent="0.25">
      <c r="A83" s="182">
        <v>81</v>
      </c>
      <c r="B83" s="161" t="s">
        <v>304</v>
      </c>
      <c r="C83" s="139" t="s">
        <v>967</v>
      </c>
      <c r="D83" s="93"/>
      <c r="E83" s="307"/>
      <c r="F83" s="75"/>
      <c r="G83" s="75">
        <v>2619009274</v>
      </c>
      <c r="H83" s="5"/>
      <c r="I83" s="5">
        <v>11</v>
      </c>
      <c r="J83" s="183"/>
      <c r="K83" s="177"/>
      <c r="L83" s="142"/>
      <c r="M83" s="142"/>
      <c r="N83" s="173"/>
      <c r="O83" s="284"/>
      <c r="P83" s="318"/>
      <c r="Q83" s="142"/>
      <c r="R83" s="142"/>
      <c r="S83" s="318"/>
      <c r="T83" s="173"/>
      <c r="U83" s="223"/>
      <c r="V83" s="318"/>
      <c r="W83" s="142"/>
      <c r="X83" s="142"/>
      <c r="Y83" s="318"/>
      <c r="Z83" s="173"/>
      <c r="AA83" s="75"/>
      <c r="AB83" s="173"/>
      <c r="AC83" s="75"/>
      <c r="AD83" s="75"/>
      <c r="AE83" s="75"/>
      <c r="AF83" s="75">
        <f ca="1">ЦветЯчейки</f>
        <v>0</v>
      </c>
      <c r="AG83" s="5"/>
      <c r="AH83" s="5"/>
    </row>
    <row r="84" spans="1:34" s="1" customFormat="1" ht="60" x14ac:dyDescent="0.25">
      <c r="A84" s="182">
        <v>82</v>
      </c>
      <c r="B84" s="160" t="s">
        <v>350</v>
      </c>
      <c r="C84" s="139" t="s">
        <v>968</v>
      </c>
      <c r="D84" s="93"/>
      <c r="E84" s="307"/>
      <c r="F84" s="75"/>
      <c r="G84" s="5">
        <v>2617012810</v>
      </c>
      <c r="H84" s="5"/>
      <c r="I84" s="5">
        <v>2</v>
      </c>
      <c r="J84" s="183"/>
      <c r="K84" s="177"/>
      <c r="L84" s="142"/>
      <c r="M84" s="142"/>
      <c r="N84" s="173"/>
      <c r="O84" s="284"/>
      <c r="P84" s="318"/>
      <c r="Q84" s="142"/>
      <c r="R84" s="142"/>
      <c r="S84" s="318"/>
      <c r="T84" s="173"/>
      <c r="U84" s="223"/>
      <c r="V84" s="318"/>
      <c r="W84" s="142"/>
      <c r="X84" s="142"/>
      <c r="Y84" s="318"/>
      <c r="Z84" s="173"/>
      <c r="AA84" s="75"/>
      <c r="AB84" s="145"/>
      <c r="AC84" s="146"/>
      <c r="AD84" s="146"/>
      <c r="AE84" s="146"/>
      <c r="AF84" s="75">
        <f ca="1">ЦветЯчейки</f>
        <v>0</v>
      </c>
      <c r="AG84" s="5"/>
      <c r="AH84" s="5"/>
    </row>
    <row r="85" spans="1:34" s="1" customFormat="1" ht="75" x14ac:dyDescent="0.25">
      <c r="A85" s="182">
        <v>83</v>
      </c>
      <c r="B85" s="160" t="s">
        <v>358</v>
      </c>
      <c r="C85" s="139" t="s">
        <v>969</v>
      </c>
      <c r="D85" s="93"/>
      <c r="E85" s="307"/>
      <c r="F85" s="75"/>
      <c r="G85" s="5">
        <v>2607011977</v>
      </c>
      <c r="H85" s="79"/>
      <c r="I85" s="78">
        <v>2</v>
      </c>
      <c r="J85" s="183"/>
      <c r="K85" s="177"/>
      <c r="L85" s="142"/>
      <c r="M85" s="142"/>
      <c r="N85" s="173"/>
      <c r="O85" s="284"/>
      <c r="P85" s="318"/>
      <c r="Q85" s="142"/>
      <c r="R85" s="142"/>
      <c r="S85" s="318"/>
      <c r="T85" s="173"/>
      <c r="U85" s="223"/>
      <c r="V85" s="318"/>
      <c r="W85" s="142"/>
      <c r="X85" s="142"/>
      <c r="Y85" s="318"/>
      <c r="Z85" s="173"/>
      <c r="AA85" s="75"/>
      <c r="AB85" s="142"/>
      <c r="AC85" s="75"/>
      <c r="AD85" s="75"/>
      <c r="AE85" s="75"/>
      <c r="AF85" s="75">
        <f ca="1">ЦветЯчейки</f>
        <v>0</v>
      </c>
      <c r="AG85" s="5"/>
      <c r="AH85" s="5"/>
    </row>
    <row r="86" spans="1:34" s="1" customFormat="1" ht="75" x14ac:dyDescent="0.25">
      <c r="A86" s="182">
        <v>84</v>
      </c>
      <c r="B86" s="160" t="s">
        <v>196</v>
      </c>
      <c r="C86" s="139" t="s">
        <v>970</v>
      </c>
      <c r="D86" s="93"/>
      <c r="E86" s="307"/>
      <c r="F86" s="75"/>
      <c r="G86" s="5">
        <v>2607019567</v>
      </c>
      <c r="H86" s="79"/>
      <c r="I86" s="78">
        <v>1</v>
      </c>
      <c r="J86" s="183"/>
      <c r="K86" s="177"/>
      <c r="L86" s="142"/>
      <c r="M86" s="142"/>
      <c r="N86" s="173"/>
      <c r="O86" s="284"/>
      <c r="P86" s="318"/>
      <c r="Q86" s="142"/>
      <c r="R86" s="142"/>
      <c r="S86" s="318"/>
      <c r="T86" s="173"/>
      <c r="U86" s="223"/>
      <c r="V86" s="318"/>
      <c r="W86" s="142"/>
      <c r="X86" s="142"/>
      <c r="Y86" s="318"/>
      <c r="Z86" s="173"/>
      <c r="AA86" s="75"/>
      <c r="AB86" s="142"/>
      <c r="AC86" s="75"/>
      <c r="AD86" s="75"/>
      <c r="AE86" s="75"/>
      <c r="AF86" s="75">
        <f ca="1">ЦветЯчейки</f>
        <v>0</v>
      </c>
      <c r="AG86" s="5"/>
      <c r="AH86" s="5"/>
    </row>
    <row r="87" spans="1:34" s="1" customFormat="1" ht="78" customHeight="1" x14ac:dyDescent="0.25">
      <c r="A87" s="182">
        <v>85</v>
      </c>
      <c r="B87" s="160" t="s">
        <v>375</v>
      </c>
      <c r="C87" s="139" t="s">
        <v>971</v>
      </c>
      <c r="D87" s="93"/>
      <c r="E87" s="307"/>
      <c r="F87" s="75"/>
      <c r="G87" s="5">
        <v>2617002354</v>
      </c>
      <c r="H87" s="79"/>
      <c r="I87" s="78">
        <v>1</v>
      </c>
      <c r="J87" s="183"/>
      <c r="K87" s="177"/>
      <c r="L87" s="142"/>
      <c r="M87" s="142"/>
      <c r="N87" s="173"/>
      <c r="O87" s="284"/>
      <c r="P87" s="318"/>
      <c r="Q87" s="142"/>
      <c r="R87" s="142"/>
      <c r="S87" s="318"/>
      <c r="T87" s="173"/>
      <c r="U87" s="223"/>
      <c r="V87" s="318"/>
      <c r="W87" s="142"/>
      <c r="X87" s="142"/>
      <c r="Y87" s="318"/>
      <c r="Z87" s="173"/>
      <c r="AA87" s="75"/>
      <c r="AB87" s="142"/>
      <c r="AC87" s="75"/>
      <c r="AD87" s="75"/>
      <c r="AE87" s="75"/>
      <c r="AF87" s="75">
        <f ca="1">ЦветЯчейки</f>
        <v>0</v>
      </c>
      <c r="AG87" s="5"/>
      <c r="AH87" s="5"/>
    </row>
    <row r="88" spans="1:34" s="1" customFormat="1" ht="73.5" customHeight="1" x14ac:dyDescent="0.25">
      <c r="A88" s="182">
        <v>86</v>
      </c>
      <c r="B88" s="160" t="s">
        <v>248</v>
      </c>
      <c r="C88" s="139" t="s">
        <v>972</v>
      </c>
      <c r="D88" s="93"/>
      <c r="E88" s="307"/>
      <c r="F88" s="75"/>
      <c r="G88" s="5">
        <v>2607019503</v>
      </c>
      <c r="H88" s="5"/>
      <c r="I88" s="5">
        <v>7</v>
      </c>
      <c r="J88" s="183"/>
      <c r="K88" s="177"/>
      <c r="L88" s="142"/>
      <c r="M88" s="142"/>
      <c r="N88" s="173"/>
      <c r="O88" s="284"/>
      <c r="P88" s="318"/>
      <c r="Q88" s="142"/>
      <c r="R88" s="142"/>
      <c r="S88" s="318"/>
      <c r="T88" s="173"/>
      <c r="U88" s="223"/>
      <c r="V88" s="318"/>
      <c r="W88" s="142"/>
      <c r="X88" s="142"/>
      <c r="Y88" s="318"/>
      <c r="Z88" s="173"/>
      <c r="AA88" s="75"/>
      <c r="AB88" s="142"/>
      <c r="AC88" s="75"/>
      <c r="AD88" s="75"/>
      <c r="AE88" s="75"/>
      <c r="AF88" s="75">
        <f ca="1">ЦветЯчейки</f>
        <v>0</v>
      </c>
      <c r="AG88" s="5"/>
      <c r="AH88" s="5"/>
    </row>
    <row r="89" spans="1:34" s="1" customFormat="1" ht="75" x14ac:dyDescent="0.25">
      <c r="A89" s="182">
        <v>87</v>
      </c>
      <c r="B89" s="160" t="s">
        <v>361</v>
      </c>
      <c r="C89" s="139" t="s">
        <v>973</v>
      </c>
      <c r="D89" s="93"/>
      <c r="E89" s="307"/>
      <c r="F89" s="75"/>
      <c r="G89" s="5">
        <v>2607016132</v>
      </c>
      <c r="H89" s="79"/>
      <c r="I89" s="78">
        <v>2</v>
      </c>
      <c r="J89" s="183"/>
      <c r="K89" s="177"/>
      <c r="L89" s="142"/>
      <c r="M89" s="142"/>
      <c r="N89" s="173"/>
      <c r="O89" s="284"/>
      <c r="P89" s="318"/>
      <c r="Q89" s="142"/>
      <c r="R89" s="142"/>
      <c r="S89" s="318"/>
      <c r="T89" s="173"/>
      <c r="U89" s="223"/>
      <c r="V89" s="318"/>
      <c r="W89" s="142"/>
      <c r="X89" s="142"/>
      <c r="Y89" s="318"/>
      <c r="Z89" s="173"/>
      <c r="AA89" s="75"/>
      <c r="AB89" s="142"/>
      <c r="AC89" s="75"/>
      <c r="AD89" s="75"/>
      <c r="AE89" s="75"/>
      <c r="AF89" s="75">
        <f ca="1">ЦветЯчейки</f>
        <v>0</v>
      </c>
      <c r="AG89" s="5"/>
      <c r="AH89" s="5"/>
    </row>
    <row r="90" spans="1:34" s="1" customFormat="1" ht="75" x14ac:dyDescent="0.25">
      <c r="A90" s="182">
        <v>88</v>
      </c>
      <c r="B90" s="160" t="s">
        <v>188</v>
      </c>
      <c r="C90" s="139" t="s">
        <v>974</v>
      </c>
      <c r="D90" s="93"/>
      <c r="E90" s="307"/>
      <c r="F90" s="75"/>
      <c r="G90" s="5">
        <v>2602000587</v>
      </c>
      <c r="H90" s="79"/>
      <c r="I90" s="78">
        <v>1</v>
      </c>
      <c r="J90" s="183"/>
      <c r="K90" s="177"/>
      <c r="L90" s="142"/>
      <c r="M90" s="142"/>
      <c r="N90" s="173"/>
      <c r="O90" s="284"/>
      <c r="P90" s="318"/>
      <c r="Q90" s="142"/>
      <c r="R90" s="142"/>
      <c r="S90" s="318"/>
      <c r="T90" s="173"/>
      <c r="U90" s="223"/>
      <c r="V90" s="318"/>
      <c r="W90" s="142"/>
      <c r="X90" s="142"/>
      <c r="Y90" s="318"/>
      <c r="Z90" s="173"/>
      <c r="AA90" s="75"/>
      <c r="AB90" s="142"/>
      <c r="AC90" s="75"/>
      <c r="AD90" s="75"/>
      <c r="AE90" s="75"/>
      <c r="AF90" s="75">
        <f ca="1">ЦветЯчейки</f>
        <v>0</v>
      </c>
      <c r="AG90" s="5"/>
      <c r="AH90" s="5"/>
    </row>
    <row r="91" spans="1:34" s="1" customFormat="1" ht="60" x14ac:dyDescent="0.25">
      <c r="A91" s="182">
        <v>89</v>
      </c>
      <c r="B91" s="160" t="s">
        <v>479</v>
      </c>
      <c r="C91" s="139" t="s">
        <v>975</v>
      </c>
      <c r="D91" s="93"/>
      <c r="E91" s="307"/>
      <c r="F91" s="75"/>
      <c r="G91" s="5">
        <v>2608800685</v>
      </c>
      <c r="H91" s="5"/>
      <c r="I91" s="78">
        <v>1</v>
      </c>
      <c r="J91" s="183"/>
      <c r="K91" s="177"/>
      <c r="L91" s="142"/>
      <c r="M91" s="142"/>
      <c r="N91" s="173"/>
      <c r="O91" s="284"/>
      <c r="P91" s="142"/>
      <c r="Q91" s="142"/>
      <c r="R91" s="142"/>
      <c r="S91" s="318"/>
      <c r="T91" s="142"/>
      <c r="U91" s="223"/>
      <c r="V91" s="142"/>
      <c r="W91" s="142"/>
      <c r="X91" s="142"/>
      <c r="Y91" s="142"/>
      <c r="Z91" s="142"/>
      <c r="AA91" s="75"/>
      <c r="AB91" s="142"/>
      <c r="AC91" s="75"/>
      <c r="AD91" s="75"/>
      <c r="AE91" s="75"/>
      <c r="AF91" s="75">
        <f ca="1">ЦветЯчейки</f>
        <v>0</v>
      </c>
      <c r="AG91" s="5"/>
      <c r="AH91" s="5"/>
    </row>
    <row r="92" spans="1:34" s="1" customFormat="1" ht="60" x14ac:dyDescent="0.25">
      <c r="A92" s="182">
        <v>90</v>
      </c>
      <c r="B92" s="161" t="s">
        <v>297</v>
      </c>
      <c r="C92" s="139" t="s">
        <v>976</v>
      </c>
      <c r="D92" s="93"/>
      <c r="E92" s="307"/>
      <c r="F92" s="75"/>
      <c r="G92" s="5">
        <v>2608800357</v>
      </c>
      <c r="H92" s="5"/>
      <c r="I92" s="5">
        <v>1</v>
      </c>
      <c r="J92" s="183"/>
      <c r="K92" s="177"/>
      <c r="L92" s="142"/>
      <c r="M92" s="142"/>
      <c r="N92" s="173"/>
      <c r="O92" s="284"/>
      <c r="P92" s="318"/>
      <c r="Q92" s="142"/>
      <c r="R92" s="142"/>
      <c r="S92" s="318"/>
      <c r="T92" s="173"/>
      <c r="U92" s="223"/>
      <c r="V92" s="341"/>
      <c r="W92" s="142"/>
      <c r="X92" s="136"/>
      <c r="Y92" s="320"/>
      <c r="Z92" s="173"/>
      <c r="AA92" s="75"/>
      <c r="AB92" s="142"/>
      <c r="AC92" s="75"/>
      <c r="AD92" s="75"/>
      <c r="AE92" s="75"/>
      <c r="AF92" s="75">
        <f ca="1">ЦветЯчейки</f>
        <v>0</v>
      </c>
      <c r="AG92" s="5"/>
      <c r="AH92" s="5"/>
    </row>
    <row r="93" spans="1:34" s="1" customFormat="1" ht="75" x14ac:dyDescent="0.25">
      <c r="A93" s="182">
        <v>92</v>
      </c>
      <c r="B93" s="100" t="s">
        <v>436</v>
      </c>
      <c r="C93" s="100" t="s">
        <v>978</v>
      </c>
      <c r="D93" s="87"/>
      <c r="E93" s="346"/>
      <c r="F93" s="75"/>
      <c r="G93" s="3">
        <v>2605010625</v>
      </c>
      <c r="H93" s="5"/>
      <c r="I93" s="5"/>
      <c r="J93" s="183">
        <v>13</v>
      </c>
      <c r="K93" s="177"/>
      <c r="L93" s="142"/>
      <c r="M93" s="142"/>
      <c r="N93" s="173"/>
      <c r="O93" s="284"/>
      <c r="P93" s="341"/>
      <c r="Q93" s="142"/>
      <c r="R93" s="136"/>
      <c r="S93" s="320"/>
      <c r="T93" s="173"/>
      <c r="U93" s="223"/>
      <c r="V93" s="341"/>
      <c r="W93" s="142"/>
      <c r="X93" s="136"/>
      <c r="Y93" s="320"/>
      <c r="Z93" s="173"/>
      <c r="AA93" s="75"/>
      <c r="AB93" s="142"/>
      <c r="AC93" s="75"/>
      <c r="AD93" s="75"/>
      <c r="AE93" s="75"/>
      <c r="AF93" s="75">
        <f ca="1">ЦветЯчейки</f>
        <v>0</v>
      </c>
      <c r="AG93" s="5"/>
      <c r="AH93" s="5"/>
    </row>
    <row r="94" spans="1:34" s="1" customFormat="1" ht="60" x14ac:dyDescent="0.25">
      <c r="A94" s="182">
        <v>93</v>
      </c>
      <c r="B94" s="100" t="s">
        <v>443</v>
      </c>
      <c r="C94" s="100" t="s">
        <v>979</v>
      </c>
      <c r="D94" s="108" t="s">
        <v>857</v>
      </c>
      <c r="E94" s="310" t="s">
        <v>856</v>
      </c>
      <c r="F94" s="5" t="s">
        <v>33</v>
      </c>
      <c r="G94" s="3">
        <v>2622001927</v>
      </c>
      <c r="H94" s="5"/>
      <c r="I94" s="5"/>
      <c r="J94" s="183">
        <v>5</v>
      </c>
      <c r="K94" s="177"/>
      <c r="L94" s="142"/>
      <c r="M94" s="142"/>
      <c r="N94" s="173"/>
      <c r="O94" s="284"/>
      <c r="P94" s="341"/>
      <c r="Q94" s="142"/>
      <c r="R94" s="136"/>
      <c r="S94" s="320"/>
      <c r="T94" s="173"/>
      <c r="U94" s="223"/>
      <c r="V94" s="142"/>
      <c r="W94" s="142"/>
      <c r="X94" s="142"/>
      <c r="Y94" s="142"/>
      <c r="Z94" s="173"/>
      <c r="AA94" s="75"/>
      <c r="AB94" s="142"/>
      <c r="AC94" s="75"/>
      <c r="AD94" s="75"/>
      <c r="AE94" s="75"/>
      <c r="AF94" s="75">
        <f ca="1">ЦветЯчейки</f>
        <v>0</v>
      </c>
      <c r="AG94" s="5"/>
      <c r="AH94" s="5"/>
    </row>
    <row r="95" spans="1:34" s="1" customFormat="1" ht="16.5" hidden="1" customHeight="1" x14ac:dyDescent="0.25">
      <c r="A95" s="182">
        <v>94</v>
      </c>
      <c r="B95" s="25" t="s">
        <v>458</v>
      </c>
      <c r="C95" s="25" t="s">
        <v>980</v>
      </c>
      <c r="D95" s="41"/>
      <c r="E95" s="296"/>
      <c r="F95" s="5"/>
      <c r="G95" s="5">
        <v>2636032629</v>
      </c>
      <c r="H95" s="5"/>
      <c r="I95" s="5"/>
      <c r="J95" s="183"/>
      <c r="K95" s="177"/>
      <c r="L95" s="142"/>
      <c r="M95" s="142"/>
      <c r="N95" s="173"/>
      <c r="O95" s="284"/>
      <c r="P95" s="177"/>
      <c r="Q95" s="142"/>
      <c r="R95" s="142"/>
      <c r="S95" s="318"/>
      <c r="T95" s="173"/>
      <c r="U95" s="223"/>
      <c r="V95" s="142"/>
      <c r="W95" s="142"/>
      <c r="X95" s="142"/>
      <c r="Y95" s="142"/>
      <c r="Z95" s="173"/>
      <c r="AA95" s="75"/>
      <c r="AB95" s="142"/>
      <c r="AC95" s="75"/>
      <c r="AD95" s="75"/>
      <c r="AE95" s="75"/>
      <c r="AF95" s="75">
        <f ca="1">ЦветЯчейки</f>
        <v>0</v>
      </c>
      <c r="AG95" s="5"/>
      <c r="AH95" s="5"/>
    </row>
    <row r="96" spans="1:34" s="1" customFormat="1" ht="60" x14ac:dyDescent="0.25">
      <c r="A96" s="182">
        <v>95</v>
      </c>
      <c r="B96" s="139" t="s">
        <v>713</v>
      </c>
      <c r="C96" s="266" t="s">
        <v>981</v>
      </c>
      <c r="D96" s="41"/>
      <c r="E96" s="296"/>
      <c r="F96" s="75"/>
      <c r="G96" s="5">
        <v>2636032629</v>
      </c>
      <c r="H96" s="5"/>
      <c r="I96" s="5"/>
      <c r="J96" s="183">
        <v>1</v>
      </c>
      <c r="K96" s="248"/>
      <c r="L96" s="177"/>
      <c r="M96" s="142"/>
      <c r="N96" s="173"/>
      <c r="O96" s="284"/>
      <c r="P96" s="341"/>
      <c r="Q96" s="142"/>
      <c r="R96" s="136"/>
      <c r="S96" s="320"/>
      <c r="T96" s="173"/>
      <c r="U96" s="223"/>
      <c r="V96" s="341"/>
      <c r="W96" s="142"/>
      <c r="X96" s="136"/>
      <c r="Y96" s="320"/>
      <c r="Z96" s="173"/>
      <c r="AA96" s="75"/>
      <c r="AB96" s="142"/>
      <c r="AC96" s="75"/>
      <c r="AD96" s="75"/>
      <c r="AE96" s="75"/>
      <c r="AF96" s="75">
        <f ca="1">ЦветЯчейки</f>
        <v>0</v>
      </c>
      <c r="AG96" s="5"/>
      <c r="AH96" s="5"/>
    </row>
    <row r="97" spans="1:34" s="1" customFormat="1" ht="60" x14ac:dyDescent="0.25">
      <c r="A97" s="182">
        <v>97</v>
      </c>
      <c r="B97" s="100" t="s">
        <v>464</v>
      </c>
      <c r="C97" s="100" t="s">
        <v>983</v>
      </c>
      <c r="D97" s="93"/>
      <c r="E97" s="296"/>
      <c r="F97" s="75"/>
      <c r="G97" s="3">
        <v>2614015309</v>
      </c>
      <c r="H97" s="5"/>
      <c r="I97" s="5"/>
      <c r="J97" s="183">
        <v>12</v>
      </c>
      <c r="K97" s="177"/>
      <c r="L97" s="142"/>
      <c r="M97" s="142"/>
      <c r="N97" s="173"/>
      <c r="O97" s="284"/>
      <c r="P97" s="341"/>
      <c r="Q97" s="142"/>
      <c r="R97" s="136"/>
      <c r="S97" s="320"/>
      <c r="T97" s="173"/>
      <c r="U97" s="223"/>
      <c r="V97" s="341"/>
      <c r="W97" s="142"/>
      <c r="X97" s="136"/>
      <c r="Y97" s="320"/>
      <c r="Z97" s="173"/>
      <c r="AA97" s="75"/>
      <c r="AB97" s="142"/>
      <c r="AC97" s="75"/>
      <c r="AD97" s="75"/>
      <c r="AE97" s="75"/>
      <c r="AF97" s="75">
        <f ca="1">ЦветЯчейки</f>
        <v>0</v>
      </c>
      <c r="AG97" s="5"/>
      <c r="AH97" s="5"/>
    </row>
    <row r="98" spans="1:34" s="1" customFormat="1" ht="75" x14ac:dyDescent="0.25">
      <c r="A98" s="182">
        <v>100</v>
      </c>
      <c r="B98" s="139" t="s">
        <v>513</v>
      </c>
      <c r="C98" s="100" t="s">
        <v>986</v>
      </c>
      <c r="D98" s="93"/>
      <c r="E98" s="307"/>
      <c r="F98" s="10"/>
      <c r="G98" s="3">
        <v>2636032629</v>
      </c>
      <c r="H98" s="5"/>
      <c r="I98" s="5">
        <v>2</v>
      </c>
      <c r="J98" s="183"/>
      <c r="K98" s="341"/>
      <c r="L98" s="142"/>
      <c r="M98" s="136"/>
      <c r="N98" s="320"/>
      <c r="O98" s="284"/>
      <c r="P98" s="341"/>
      <c r="Q98" s="142"/>
      <c r="R98" s="136"/>
      <c r="S98" s="320"/>
      <c r="T98" s="173"/>
      <c r="U98" s="223"/>
      <c r="V98" s="142"/>
      <c r="W98" s="142"/>
      <c r="X98" s="142"/>
      <c r="Y98" s="142"/>
      <c r="Z98" s="173"/>
      <c r="AA98" s="75"/>
      <c r="AB98" s="142"/>
      <c r="AC98" s="142"/>
      <c r="AD98" s="142"/>
      <c r="AE98" s="142"/>
      <c r="AF98" s="75">
        <f ca="1">ЦветЯчейки</f>
        <v>0</v>
      </c>
      <c r="AG98" s="173"/>
      <c r="AH98" s="75"/>
    </row>
    <row r="99" spans="1:34" s="1" customFormat="1" ht="75" x14ac:dyDescent="0.25">
      <c r="A99" s="182">
        <v>101</v>
      </c>
      <c r="B99" s="139" t="s">
        <v>524</v>
      </c>
      <c r="C99" s="100" t="s">
        <v>987</v>
      </c>
      <c r="D99" s="93"/>
      <c r="E99" s="307"/>
      <c r="F99" s="10"/>
      <c r="G99" s="3">
        <v>2617800152</v>
      </c>
      <c r="H99" s="5"/>
      <c r="I99" s="5"/>
      <c r="J99" s="183">
        <v>2</v>
      </c>
      <c r="K99" s="177"/>
      <c r="L99" s="142"/>
      <c r="M99" s="142"/>
      <c r="N99" s="173"/>
      <c r="O99" s="284"/>
      <c r="P99" s="341"/>
      <c r="Q99" s="142"/>
      <c r="R99" s="136"/>
      <c r="S99" s="320"/>
      <c r="T99" s="173"/>
      <c r="U99" s="223"/>
      <c r="V99" s="142"/>
      <c r="W99" s="142"/>
      <c r="X99" s="142"/>
      <c r="Y99" s="142"/>
      <c r="Z99" s="173"/>
      <c r="AA99" s="75"/>
      <c r="AB99" s="142"/>
      <c r="AC99" s="75"/>
      <c r="AD99" s="75"/>
      <c r="AE99" s="75"/>
      <c r="AF99" s="75">
        <f ca="1">ЦветЯчейки</f>
        <v>0</v>
      </c>
      <c r="AG99" s="5"/>
      <c r="AH99" s="5"/>
    </row>
    <row r="100" spans="1:34" s="1" customFormat="1" ht="60" x14ac:dyDescent="0.25">
      <c r="A100" s="182">
        <v>104</v>
      </c>
      <c r="B100" s="139" t="s">
        <v>547</v>
      </c>
      <c r="C100" s="100" t="s">
        <v>990</v>
      </c>
      <c r="D100" s="93"/>
      <c r="E100" s="290"/>
      <c r="F100" s="10"/>
      <c r="G100" s="3">
        <v>2623011950</v>
      </c>
      <c r="H100" s="5"/>
      <c r="I100" s="5">
        <v>4</v>
      </c>
      <c r="J100" s="183">
        <v>12</v>
      </c>
      <c r="K100" s="177"/>
      <c r="L100" s="142"/>
      <c r="M100" s="136"/>
      <c r="N100" s="173"/>
      <c r="O100" s="284"/>
      <c r="P100" s="341"/>
      <c r="Q100" s="142"/>
      <c r="R100" s="136"/>
      <c r="S100" s="320"/>
      <c r="T100" s="173"/>
      <c r="U100" s="223"/>
      <c r="V100" s="341"/>
      <c r="W100" s="142"/>
      <c r="X100" s="136"/>
      <c r="Y100" s="320"/>
      <c r="Z100" s="173"/>
      <c r="AA100" s="75"/>
      <c r="AB100" s="142"/>
      <c r="AC100" s="75"/>
      <c r="AD100" s="75"/>
      <c r="AE100" s="75"/>
      <c r="AF100" s="75">
        <f ca="1">ЦветЯчейки</f>
        <v>0</v>
      </c>
      <c r="AG100" s="5"/>
      <c r="AH100" s="5"/>
    </row>
    <row r="101" spans="1:34" s="1" customFormat="1" ht="75" x14ac:dyDescent="0.25">
      <c r="A101" s="182">
        <v>30</v>
      </c>
      <c r="B101" s="160" t="s">
        <v>343</v>
      </c>
      <c r="C101" s="139" t="s">
        <v>920</v>
      </c>
      <c r="D101" s="138" t="s">
        <v>1176</v>
      </c>
      <c r="E101" s="295" t="s">
        <v>1177</v>
      </c>
      <c r="F101" s="5" t="s">
        <v>33</v>
      </c>
      <c r="G101" s="5">
        <v>2623015062</v>
      </c>
      <c r="H101" s="5"/>
      <c r="I101" s="5">
        <v>4</v>
      </c>
      <c r="J101" s="183"/>
      <c r="K101" s="177"/>
      <c r="L101" s="142"/>
      <c r="M101" s="142"/>
      <c r="N101" s="173"/>
      <c r="O101" s="284"/>
      <c r="P101" s="318"/>
      <c r="Q101" s="142"/>
      <c r="R101" s="142"/>
      <c r="S101" s="318"/>
      <c r="T101" s="173"/>
      <c r="U101" s="223"/>
      <c r="V101" s="318"/>
      <c r="W101" s="142"/>
      <c r="X101" s="142"/>
      <c r="Y101" s="318"/>
      <c r="Z101" s="173"/>
      <c r="AA101" s="75"/>
      <c r="AB101" s="142"/>
      <c r="AC101" s="75"/>
      <c r="AD101" s="75"/>
      <c r="AE101" s="75"/>
      <c r="AF101" s="75">
        <f ca="1">ЦветЯчейки</f>
        <v>0</v>
      </c>
      <c r="AG101" s="5"/>
      <c r="AH101" s="5"/>
    </row>
    <row r="102" spans="1:34" s="1" customFormat="1" ht="90" x14ac:dyDescent="0.25">
      <c r="A102" s="182">
        <v>105</v>
      </c>
      <c r="B102" s="139" t="s">
        <v>239</v>
      </c>
      <c r="C102" s="100" t="s">
        <v>991</v>
      </c>
      <c r="D102" s="138" t="s">
        <v>861</v>
      </c>
      <c r="E102" s="311">
        <v>44211</v>
      </c>
      <c r="F102" s="3" t="s">
        <v>33</v>
      </c>
      <c r="G102" s="3">
        <v>2620001350</v>
      </c>
      <c r="H102" s="5"/>
      <c r="I102" s="5"/>
      <c r="J102" s="183">
        <v>4</v>
      </c>
      <c r="K102" s="343"/>
      <c r="L102" s="142"/>
      <c r="M102" s="142"/>
      <c r="N102" s="173"/>
      <c r="O102" s="284"/>
      <c r="P102" s="341"/>
      <c r="Q102" s="142"/>
      <c r="R102" s="136"/>
      <c r="S102" s="320"/>
      <c r="T102" s="173"/>
      <c r="U102" s="223"/>
      <c r="V102" s="341"/>
      <c r="W102" s="142"/>
      <c r="X102" s="136"/>
      <c r="Y102" s="320"/>
      <c r="Z102" s="173"/>
      <c r="AA102" s="75"/>
      <c r="AB102" s="142"/>
      <c r="AC102" s="75"/>
      <c r="AD102" s="75"/>
      <c r="AE102" s="75"/>
      <c r="AF102" s="75">
        <f ca="1">ЦветЯчейки</f>
        <v>0</v>
      </c>
      <c r="AG102" s="5"/>
      <c r="AH102" s="5"/>
    </row>
    <row r="103" spans="1:34" s="1" customFormat="1" ht="60" x14ac:dyDescent="0.25">
      <c r="A103" s="182">
        <v>106</v>
      </c>
      <c r="B103" s="139" t="s">
        <v>254</v>
      </c>
      <c r="C103" s="100" t="s">
        <v>992</v>
      </c>
      <c r="D103" s="93"/>
      <c r="E103" s="296"/>
      <c r="F103" s="10"/>
      <c r="G103" s="3">
        <v>2615001940</v>
      </c>
      <c r="H103" s="5"/>
      <c r="I103" s="5">
        <v>13</v>
      </c>
      <c r="J103" s="183"/>
      <c r="K103" s="177"/>
      <c r="L103" s="142"/>
      <c r="M103" s="142"/>
      <c r="N103" s="173"/>
      <c r="O103" s="284"/>
      <c r="P103" s="341"/>
      <c r="Q103" s="142"/>
      <c r="R103" s="136"/>
      <c r="S103" s="320"/>
      <c r="T103" s="173"/>
      <c r="U103" s="223"/>
      <c r="V103" s="341"/>
      <c r="W103" s="142"/>
      <c r="X103" s="136"/>
      <c r="Y103" s="320"/>
      <c r="Z103" s="173"/>
      <c r="AA103" s="75"/>
      <c r="AB103" s="142"/>
      <c r="AC103" s="75"/>
      <c r="AD103" s="75"/>
      <c r="AE103" s="75"/>
      <c r="AF103" s="75">
        <f ca="1">ЦветЯчейки</f>
        <v>0</v>
      </c>
      <c r="AG103" s="5"/>
      <c r="AH103" s="5"/>
    </row>
    <row r="104" spans="1:34" s="1" customFormat="1" ht="60" x14ac:dyDescent="0.25">
      <c r="A104" s="182">
        <v>34</v>
      </c>
      <c r="B104" s="160" t="s">
        <v>236</v>
      </c>
      <c r="C104" s="139" t="s">
        <v>924</v>
      </c>
      <c r="D104" s="93"/>
      <c r="E104" s="290"/>
      <c r="F104" s="75"/>
      <c r="G104" s="5">
        <v>2623018659</v>
      </c>
      <c r="H104" s="79"/>
      <c r="I104" s="78">
        <v>1</v>
      </c>
      <c r="J104" s="183"/>
      <c r="K104" s="343"/>
      <c r="L104" s="142"/>
      <c r="M104" s="142"/>
      <c r="N104" s="173"/>
      <c r="O104" s="284"/>
      <c r="P104" s="320"/>
      <c r="Q104" s="142"/>
      <c r="R104" s="142"/>
      <c r="S104" s="318"/>
      <c r="T104" s="173"/>
      <c r="U104" s="223"/>
      <c r="V104" s="142"/>
      <c r="W104" s="142"/>
      <c r="X104" s="142"/>
      <c r="Y104" s="142"/>
      <c r="Z104" s="142"/>
      <c r="AA104" s="75"/>
      <c r="AB104" s="142"/>
      <c r="AC104" s="75"/>
      <c r="AD104" s="75"/>
      <c r="AE104" s="75"/>
      <c r="AF104" s="75">
        <f t="shared" ref="AF104" ca="1" si="1">ЦветЯчейки</f>
        <v>0</v>
      </c>
      <c r="AG104" s="5"/>
      <c r="AH104" s="5"/>
    </row>
    <row r="105" spans="1:34" s="1" customFormat="1" ht="105" x14ac:dyDescent="0.25">
      <c r="A105" s="182">
        <v>107</v>
      </c>
      <c r="B105" s="139" t="s">
        <v>614</v>
      </c>
      <c r="C105" s="100" t="s">
        <v>993</v>
      </c>
      <c r="D105" s="93"/>
      <c r="E105" s="307"/>
      <c r="F105" s="10"/>
      <c r="G105" s="3">
        <v>2635228241</v>
      </c>
      <c r="H105" s="5"/>
      <c r="I105" s="5"/>
      <c r="J105" s="183">
        <v>1</v>
      </c>
      <c r="K105" s="344"/>
      <c r="L105" s="145"/>
      <c r="M105" s="145"/>
      <c r="N105" s="345"/>
      <c r="O105" s="284"/>
      <c r="P105" s="341"/>
      <c r="Q105" s="142"/>
      <c r="R105" s="136"/>
      <c r="S105" s="320"/>
      <c r="T105" s="173"/>
      <c r="U105" s="223"/>
      <c r="V105" s="341"/>
      <c r="W105" s="142"/>
      <c r="X105" s="136"/>
      <c r="Y105" s="320"/>
      <c r="Z105" s="173"/>
      <c r="AA105" s="75"/>
      <c r="AB105" s="142"/>
      <c r="AC105" s="142"/>
      <c r="AD105" s="75"/>
      <c r="AE105" s="75"/>
      <c r="AF105" s="75">
        <f ca="1">ЦветЯчейки</f>
        <v>0</v>
      </c>
      <c r="AG105" s="5"/>
      <c r="AH105" s="5"/>
    </row>
    <row r="106" spans="1:34" s="1" customFormat="1" ht="75" x14ac:dyDescent="0.25">
      <c r="A106" s="182">
        <v>108</v>
      </c>
      <c r="B106" s="139" t="s">
        <v>663</v>
      </c>
      <c r="C106" s="100" t="s">
        <v>994</v>
      </c>
      <c r="D106" s="101" t="s">
        <v>664</v>
      </c>
      <c r="E106" s="309">
        <v>44561</v>
      </c>
      <c r="F106" s="3" t="s">
        <v>33</v>
      </c>
      <c r="G106" s="3">
        <v>2617019853</v>
      </c>
      <c r="H106" s="5"/>
      <c r="I106" s="5"/>
      <c r="J106" s="183">
        <v>1</v>
      </c>
      <c r="K106" s="177"/>
      <c r="L106" s="142"/>
      <c r="M106" s="142"/>
      <c r="N106" s="173"/>
      <c r="O106" s="284"/>
      <c r="P106" s="244"/>
      <c r="Q106" s="142"/>
      <c r="R106" s="142"/>
      <c r="S106" s="318"/>
      <c r="T106" s="173"/>
      <c r="U106" s="223"/>
      <c r="V106" s="142"/>
      <c r="W106" s="142"/>
      <c r="X106" s="136"/>
      <c r="Y106" s="136"/>
      <c r="Z106" s="173"/>
      <c r="AA106" s="75"/>
      <c r="AB106" s="142"/>
      <c r="AC106" s="142"/>
      <c r="AD106" s="75"/>
      <c r="AE106" s="75"/>
      <c r="AF106" s="75">
        <f ca="1">ЦветЯчейки</f>
        <v>0</v>
      </c>
      <c r="AG106" s="5"/>
      <c r="AH106" s="5"/>
    </row>
    <row r="107" spans="1:34" s="1" customFormat="1" ht="75" x14ac:dyDescent="0.25">
      <c r="A107" s="182">
        <v>109</v>
      </c>
      <c r="B107" s="139" t="s">
        <v>853</v>
      </c>
      <c r="C107" s="100" t="s">
        <v>995</v>
      </c>
      <c r="D107" s="93" t="s">
        <v>854</v>
      </c>
      <c r="E107" s="309">
        <v>44216</v>
      </c>
      <c r="F107" s="3" t="s">
        <v>33</v>
      </c>
      <c r="G107" s="3">
        <v>2636032629</v>
      </c>
      <c r="H107" s="5"/>
      <c r="I107" s="5">
        <v>2</v>
      </c>
      <c r="J107" s="183"/>
      <c r="K107" s="177"/>
      <c r="L107" s="142"/>
      <c r="M107" s="142"/>
      <c r="N107" s="173"/>
      <c r="O107" s="284"/>
      <c r="P107" s="244"/>
      <c r="Q107" s="142"/>
      <c r="R107" s="142"/>
      <c r="S107" s="318"/>
      <c r="T107" s="173"/>
      <c r="U107" s="223"/>
      <c r="V107" s="341"/>
      <c r="W107" s="142"/>
      <c r="X107" s="136"/>
      <c r="Y107" s="320"/>
      <c r="Z107" s="173"/>
      <c r="AA107" s="75"/>
      <c r="AB107" s="142"/>
      <c r="AC107" s="142"/>
      <c r="AD107" s="75"/>
      <c r="AE107" s="75"/>
      <c r="AF107" s="75"/>
      <c r="AG107" s="5"/>
      <c r="AH107" s="5"/>
    </row>
    <row r="108" spans="1:34" s="1" customFormat="1" ht="45" x14ac:dyDescent="0.25">
      <c r="A108" s="182">
        <v>110</v>
      </c>
      <c r="B108" s="139" t="s">
        <v>868</v>
      </c>
      <c r="C108" s="100" t="s">
        <v>996</v>
      </c>
      <c r="D108" s="221" t="s">
        <v>869</v>
      </c>
      <c r="E108" s="308">
        <v>44216</v>
      </c>
      <c r="F108" s="3" t="s">
        <v>33</v>
      </c>
      <c r="G108" s="3">
        <v>2607018852</v>
      </c>
      <c r="H108" s="5"/>
      <c r="I108" s="5"/>
      <c r="J108" s="183">
        <v>1</v>
      </c>
      <c r="K108" s="177"/>
      <c r="L108" s="142"/>
      <c r="M108" s="142"/>
      <c r="N108" s="173"/>
      <c r="O108" s="284"/>
      <c r="P108" s="244"/>
      <c r="Q108" s="142"/>
      <c r="R108" s="142"/>
      <c r="S108" s="318"/>
      <c r="T108" s="173"/>
      <c r="U108" s="223"/>
      <c r="V108" s="142"/>
      <c r="W108" s="142"/>
      <c r="X108" s="136"/>
      <c r="Y108" s="136"/>
      <c r="Z108" s="173"/>
      <c r="AA108" s="75"/>
      <c r="AB108" s="142"/>
      <c r="AC108" s="142"/>
      <c r="AD108" s="75"/>
      <c r="AE108" s="75"/>
      <c r="AF108" s="75"/>
      <c r="AG108" s="5"/>
      <c r="AH108" s="5"/>
    </row>
    <row r="109" spans="1:34" s="1" customFormat="1" ht="75" x14ac:dyDescent="0.25">
      <c r="A109" s="182">
        <v>111</v>
      </c>
      <c r="B109" s="315" t="s">
        <v>874</v>
      </c>
      <c r="C109" s="316" t="s">
        <v>997</v>
      </c>
      <c r="D109" s="221" t="s">
        <v>875</v>
      </c>
      <c r="E109" s="308">
        <v>44216</v>
      </c>
      <c r="F109" s="5" t="s">
        <v>33</v>
      </c>
      <c r="G109" s="3">
        <v>2372009511</v>
      </c>
      <c r="H109" s="5"/>
      <c r="I109" s="5"/>
      <c r="J109" s="183">
        <v>1</v>
      </c>
      <c r="K109" s="177"/>
      <c r="L109" s="142"/>
      <c r="M109" s="142"/>
      <c r="N109" s="173"/>
      <c r="O109" s="284"/>
      <c r="P109" s="341"/>
      <c r="Q109" s="142"/>
      <c r="R109" s="136"/>
      <c r="S109" s="320"/>
      <c r="T109" s="173"/>
      <c r="U109" s="223"/>
      <c r="V109" s="142"/>
      <c r="W109" s="142"/>
      <c r="X109" s="136"/>
      <c r="Y109" s="136"/>
      <c r="Z109" s="173"/>
      <c r="AA109" s="75"/>
      <c r="AB109" s="142"/>
      <c r="AC109" s="142"/>
      <c r="AD109" s="75"/>
      <c r="AE109" s="75"/>
      <c r="AF109" s="75"/>
      <c r="AG109" s="5"/>
      <c r="AH109" s="5"/>
    </row>
    <row r="110" spans="1:34" s="1" customFormat="1" ht="45" x14ac:dyDescent="0.25">
      <c r="A110" s="182">
        <v>98</v>
      </c>
      <c r="B110" s="252" t="s">
        <v>505</v>
      </c>
      <c r="C110" s="253" t="s">
        <v>984</v>
      </c>
      <c r="D110" s="93"/>
      <c r="E110" s="307"/>
      <c r="F110" s="10"/>
      <c r="G110" s="3">
        <v>6229071563</v>
      </c>
      <c r="H110" s="5"/>
      <c r="I110" s="5"/>
      <c r="J110" s="183">
        <v>3</v>
      </c>
      <c r="K110" s="341"/>
      <c r="L110" s="142"/>
      <c r="M110" s="136"/>
      <c r="N110" s="320"/>
      <c r="O110" s="284"/>
      <c r="P110" s="341"/>
      <c r="Q110" s="142"/>
      <c r="R110" s="136"/>
      <c r="S110" s="320"/>
      <c r="T110" s="173"/>
      <c r="U110" s="223"/>
      <c r="V110" s="142"/>
      <c r="W110" s="142"/>
      <c r="X110" s="142"/>
      <c r="Y110" s="142"/>
      <c r="Z110" s="173"/>
      <c r="AA110" s="75"/>
      <c r="AB110" s="142"/>
      <c r="AC110" s="75"/>
      <c r="AD110" s="75"/>
      <c r="AE110" s="75"/>
      <c r="AF110" s="75">
        <f ca="1">ЦветЯчейки</f>
        <v>0</v>
      </c>
      <c r="AG110" s="5"/>
      <c r="AH110" s="5"/>
    </row>
    <row r="111" spans="1:34" s="1" customFormat="1" ht="65.25" customHeight="1" x14ac:dyDescent="0.25">
      <c r="A111" s="182">
        <v>102</v>
      </c>
      <c r="B111" s="252" t="s">
        <v>647</v>
      </c>
      <c r="C111" s="253" t="s">
        <v>988</v>
      </c>
      <c r="D111" s="93"/>
      <c r="E111" s="296"/>
      <c r="F111" s="10"/>
      <c r="G111" s="3">
        <v>2627026682</v>
      </c>
      <c r="H111" s="5"/>
      <c r="I111" s="5">
        <v>31</v>
      </c>
      <c r="J111" s="183">
        <v>47</v>
      </c>
      <c r="K111" s="177"/>
      <c r="L111" s="142"/>
      <c r="M111" s="136"/>
      <c r="N111" s="173"/>
      <c r="O111" s="284"/>
      <c r="P111" s="341"/>
      <c r="Q111" s="142"/>
      <c r="R111" s="136"/>
      <c r="S111" s="320"/>
      <c r="T111" s="173"/>
      <c r="U111" s="223"/>
      <c r="V111" s="341"/>
      <c r="W111" s="142"/>
      <c r="X111" s="136"/>
      <c r="Y111" s="320"/>
      <c r="Z111" s="173"/>
      <c r="AA111" s="75"/>
      <c r="AB111" s="142"/>
      <c r="AC111" s="143" t="s">
        <v>439</v>
      </c>
      <c r="AD111" s="75"/>
      <c r="AE111" s="75"/>
      <c r="AF111" s="75">
        <f ca="1">ЦветЯчейки</f>
        <v>0</v>
      </c>
      <c r="AG111" s="5"/>
      <c r="AH111" s="5"/>
    </row>
    <row r="112" spans="1:34" s="1" customFormat="1" ht="75" x14ac:dyDescent="0.25">
      <c r="A112" s="182">
        <v>103</v>
      </c>
      <c r="B112" s="252" t="s">
        <v>532</v>
      </c>
      <c r="C112" s="253" t="s">
        <v>989</v>
      </c>
      <c r="D112" s="93"/>
      <c r="E112" s="307"/>
      <c r="F112" s="10"/>
      <c r="G112" s="3">
        <v>2618021494</v>
      </c>
      <c r="H112" s="5"/>
      <c r="I112" s="5">
        <v>1</v>
      </c>
      <c r="J112" s="183"/>
      <c r="K112" s="177"/>
      <c r="L112" s="142"/>
      <c r="M112" s="142"/>
      <c r="N112" s="173"/>
      <c r="O112" s="284"/>
      <c r="P112" s="341"/>
      <c r="Q112" s="142"/>
      <c r="R112" s="136"/>
      <c r="S112" s="320"/>
      <c r="T112" s="173"/>
      <c r="U112" s="223"/>
      <c r="V112" s="142"/>
      <c r="W112" s="142"/>
      <c r="X112" s="142"/>
      <c r="Y112" s="142"/>
      <c r="Z112" s="173"/>
      <c r="AA112" s="75"/>
      <c r="AB112" s="142"/>
      <c r="AC112" s="75"/>
      <c r="AD112" s="75"/>
      <c r="AE112" s="75"/>
      <c r="AF112" s="75">
        <f ca="1">ЦветЯчейки</f>
        <v>0</v>
      </c>
      <c r="AG112" s="5"/>
      <c r="AH112" s="5"/>
    </row>
    <row r="113" spans="1:34" s="1" customFormat="1" ht="60" x14ac:dyDescent="0.25">
      <c r="A113" s="182">
        <v>91</v>
      </c>
      <c r="B113" s="162" t="s">
        <v>337</v>
      </c>
      <c r="C113" s="150" t="s">
        <v>977</v>
      </c>
      <c r="D113" s="93"/>
      <c r="E113" s="307"/>
      <c r="F113" s="75"/>
      <c r="G113" s="5">
        <v>7709239289</v>
      </c>
      <c r="H113" s="5"/>
      <c r="I113" s="5">
        <v>2</v>
      </c>
      <c r="J113" s="183"/>
      <c r="K113" s="177"/>
      <c r="L113" s="142"/>
      <c r="M113" s="142"/>
      <c r="N113" s="173"/>
      <c r="O113" s="284"/>
      <c r="P113" s="341"/>
      <c r="Q113" s="142"/>
      <c r="R113" s="136"/>
      <c r="S113" s="320"/>
      <c r="T113" s="173"/>
      <c r="U113" s="223"/>
      <c r="V113" s="142"/>
      <c r="W113" s="142"/>
      <c r="X113" s="142"/>
      <c r="Y113" s="142"/>
      <c r="Z113" s="173"/>
      <c r="AA113" s="75"/>
      <c r="AB113" s="142"/>
      <c r="AC113" s="75"/>
      <c r="AD113" s="75"/>
      <c r="AE113" s="75"/>
      <c r="AF113" s="75">
        <f ca="1">ЦветЯчейки</f>
        <v>0</v>
      </c>
      <c r="AG113" s="5"/>
      <c r="AH113" s="5"/>
    </row>
    <row r="114" spans="1:34" s="1" customFormat="1" ht="90" x14ac:dyDescent="0.25">
      <c r="A114" s="182">
        <v>112</v>
      </c>
      <c r="B114" s="138" t="s">
        <v>199</v>
      </c>
      <c r="C114" s="150" t="s">
        <v>998</v>
      </c>
      <c r="D114" s="93"/>
      <c r="E114" s="307"/>
      <c r="F114" s="75"/>
      <c r="G114" s="5">
        <v>2624800403</v>
      </c>
      <c r="H114" s="79"/>
      <c r="I114" s="78">
        <v>1</v>
      </c>
      <c r="J114" s="183"/>
      <c r="K114" s="344"/>
      <c r="L114" s="145"/>
      <c r="M114" s="145"/>
      <c r="N114" s="345"/>
      <c r="O114" s="284"/>
      <c r="P114" s="341"/>
      <c r="Q114" s="142"/>
      <c r="R114" s="136"/>
      <c r="S114" s="320"/>
      <c r="T114" s="173"/>
      <c r="U114" s="223"/>
      <c r="V114" s="341"/>
      <c r="W114" s="142"/>
      <c r="X114" s="136"/>
      <c r="Y114" s="320"/>
      <c r="Z114" s="173"/>
      <c r="AA114" s="75"/>
      <c r="AB114" s="142"/>
      <c r="AC114" s="75"/>
      <c r="AD114" s="75"/>
      <c r="AE114" s="75"/>
      <c r="AF114" s="75">
        <f ca="1">ЦветЯчейки</f>
        <v>0</v>
      </c>
      <c r="AG114" s="5"/>
      <c r="AH114" s="5"/>
    </row>
    <row r="115" spans="1:34" s="1" customFormat="1" ht="90" x14ac:dyDescent="0.25">
      <c r="A115" s="182">
        <v>113</v>
      </c>
      <c r="B115" s="138" t="s">
        <v>200</v>
      </c>
      <c r="C115" s="150" t="s">
        <v>999</v>
      </c>
      <c r="D115" s="93"/>
      <c r="E115" s="307"/>
      <c r="F115" s="75"/>
      <c r="G115" s="5">
        <v>2624030095</v>
      </c>
      <c r="H115" s="79"/>
      <c r="I115" s="78">
        <v>1</v>
      </c>
      <c r="J115" s="183"/>
      <c r="K115" s="344"/>
      <c r="L115" s="145"/>
      <c r="M115" s="145"/>
      <c r="N115" s="345"/>
      <c r="O115" s="284"/>
      <c r="P115" s="341"/>
      <c r="Q115" s="142"/>
      <c r="R115" s="136"/>
      <c r="S115" s="320"/>
      <c r="T115" s="173"/>
      <c r="U115" s="223"/>
      <c r="V115" s="341"/>
      <c r="W115" s="142"/>
      <c r="X115" s="136"/>
      <c r="Y115" s="320"/>
      <c r="Z115" s="173"/>
      <c r="AA115" s="75"/>
      <c r="AB115" s="142"/>
      <c r="AC115" s="75"/>
      <c r="AD115" s="75"/>
      <c r="AE115" s="75"/>
      <c r="AF115" s="75">
        <f ca="1">ЦветЯчейки</f>
        <v>0</v>
      </c>
      <c r="AG115" s="5"/>
      <c r="AH115" s="5"/>
    </row>
    <row r="116" spans="1:34" s="1" customFormat="1" ht="75" x14ac:dyDescent="0.25">
      <c r="A116" s="182">
        <v>114</v>
      </c>
      <c r="B116" s="138" t="s">
        <v>467</v>
      </c>
      <c r="C116" s="150" t="s">
        <v>1000</v>
      </c>
      <c r="D116" s="93"/>
      <c r="E116" s="307"/>
      <c r="F116" s="75"/>
      <c r="G116" s="5">
        <v>2624022344</v>
      </c>
      <c r="H116" s="79"/>
      <c r="I116" s="78">
        <v>1</v>
      </c>
      <c r="J116" s="183"/>
      <c r="K116" s="344"/>
      <c r="L116" s="145"/>
      <c r="M116" s="145"/>
      <c r="N116" s="345"/>
      <c r="O116" s="284"/>
      <c r="P116" s="341"/>
      <c r="Q116" s="142"/>
      <c r="R116" s="136"/>
      <c r="S116" s="320"/>
      <c r="T116" s="173"/>
      <c r="U116" s="223"/>
      <c r="V116" s="320"/>
      <c r="W116" s="142"/>
      <c r="X116" s="142"/>
      <c r="Y116" s="318"/>
      <c r="Z116" s="173"/>
      <c r="AA116" s="75"/>
      <c r="AB116" s="142"/>
      <c r="AC116" s="75"/>
      <c r="AD116" s="75"/>
      <c r="AE116" s="75"/>
      <c r="AF116" s="75">
        <f ca="1">ЦветЯчейки</f>
        <v>0</v>
      </c>
      <c r="AG116" s="5"/>
      <c r="AH116" s="5"/>
    </row>
    <row r="117" spans="1:34" s="1" customFormat="1" ht="60" x14ac:dyDescent="0.25">
      <c r="A117" s="182">
        <v>115</v>
      </c>
      <c r="B117" s="108" t="s">
        <v>218</v>
      </c>
      <c r="C117" s="108" t="s">
        <v>1001</v>
      </c>
      <c r="D117" s="93"/>
      <c r="E117" s="290"/>
      <c r="F117" s="75"/>
      <c r="G117" s="3">
        <v>2624028635</v>
      </c>
      <c r="H117" s="79"/>
      <c r="I117" s="78"/>
      <c r="J117" s="183">
        <v>36</v>
      </c>
      <c r="K117" s="177"/>
      <c r="L117" s="142"/>
      <c r="M117" s="142"/>
      <c r="N117" s="173"/>
      <c r="O117" s="284"/>
      <c r="P117" s="320"/>
      <c r="Q117" s="142"/>
      <c r="R117" s="142"/>
      <c r="S117" s="318"/>
      <c r="T117" s="173"/>
      <c r="U117" s="223"/>
      <c r="V117" s="142"/>
      <c r="W117" s="142"/>
      <c r="X117" s="142"/>
      <c r="Y117" s="142"/>
      <c r="Z117" s="173"/>
      <c r="AA117" s="75"/>
      <c r="AB117" s="142"/>
      <c r="AC117" s="142"/>
      <c r="AD117" s="173"/>
      <c r="AE117" s="75"/>
      <c r="AF117" s="75">
        <f ca="1">ЦветЯчейки</f>
        <v>0</v>
      </c>
      <c r="AG117" s="5"/>
      <c r="AH117" s="5"/>
    </row>
    <row r="118" spans="1:34" s="1" customFormat="1" ht="75" x14ac:dyDescent="0.25">
      <c r="A118" s="182">
        <v>116</v>
      </c>
      <c r="B118" s="162" t="s">
        <v>271</v>
      </c>
      <c r="C118" s="150" t="s">
        <v>1002</v>
      </c>
      <c r="D118" s="93"/>
      <c r="E118" s="290"/>
      <c r="F118" s="75"/>
      <c r="G118" s="5">
        <v>2612017565</v>
      </c>
      <c r="H118" s="5"/>
      <c r="I118" s="75">
        <v>9</v>
      </c>
      <c r="J118" s="183"/>
      <c r="K118" s="177"/>
      <c r="L118" s="142"/>
      <c r="M118" s="142"/>
      <c r="N118" s="173"/>
      <c r="O118" s="284"/>
      <c r="P118" s="320"/>
      <c r="Q118" s="142"/>
      <c r="R118" s="142"/>
      <c r="S118" s="318"/>
      <c r="T118" s="173"/>
      <c r="U118" s="223"/>
      <c r="V118" s="341"/>
      <c r="W118" s="142"/>
      <c r="X118" s="136"/>
      <c r="Y118" s="320"/>
      <c r="Z118" s="173"/>
      <c r="AA118" s="75"/>
      <c r="AB118" s="142"/>
      <c r="AC118" s="75"/>
      <c r="AD118" s="75"/>
      <c r="AE118" s="75"/>
      <c r="AF118" s="75">
        <f ca="1">ЦветЯчейки</f>
        <v>0</v>
      </c>
      <c r="AG118" s="5"/>
      <c r="AH118" s="5"/>
    </row>
    <row r="119" spans="1:34" s="1" customFormat="1" ht="11.25" hidden="1" customHeight="1" x14ac:dyDescent="0.25">
      <c r="A119" s="182">
        <v>117</v>
      </c>
      <c r="B119" s="262" t="s">
        <v>328</v>
      </c>
      <c r="C119" s="25" t="s">
        <v>1003</v>
      </c>
      <c r="D119" s="225" t="s">
        <v>330</v>
      </c>
      <c r="E119" s="293"/>
      <c r="F119" s="26"/>
      <c r="G119" s="264">
        <v>911102219002</v>
      </c>
      <c r="H119" s="230"/>
      <c r="I119" s="230"/>
      <c r="J119" s="257"/>
      <c r="K119" s="177"/>
      <c r="L119" s="142"/>
      <c r="M119" s="142"/>
      <c r="N119" s="173"/>
      <c r="O119" s="284"/>
      <c r="P119" s="142"/>
      <c r="Q119" s="142"/>
      <c r="R119" s="142"/>
      <c r="S119" s="318"/>
      <c r="T119" s="173"/>
      <c r="U119" s="223"/>
      <c r="V119" s="142"/>
      <c r="W119" s="142"/>
      <c r="X119" s="142"/>
      <c r="Y119" s="142"/>
      <c r="Z119" s="173"/>
      <c r="AA119" s="75"/>
      <c r="AB119" s="142"/>
      <c r="AC119" s="75"/>
      <c r="AD119" s="75"/>
      <c r="AE119" s="75"/>
      <c r="AF119" s="75">
        <f ca="1">ЦветЯчейки</f>
        <v>0</v>
      </c>
      <c r="AG119" s="5"/>
      <c r="AH119" s="5"/>
    </row>
    <row r="120" spans="1:34" s="1" customFormat="1" ht="30" hidden="1" x14ac:dyDescent="0.25">
      <c r="A120" s="182">
        <v>118</v>
      </c>
      <c r="B120" s="262" t="s">
        <v>322</v>
      </c>
      <c r="C120" s="25" t="s">
        <v>1004</v>
      </c>
      <c r="D120" s="225" t="s">
        <v>324</v>
      </c>
      <c r="E120" s="293"/>
      <c r="F120" s="26"/>
      <c r="G120" s="264">
        <v>910200227313</v>
      </c>
      <c r="H120" s="230"/>
      <c r="I120" s="230"/>
      <c r="J120" s="257"/>
      <c r="K120" s="177"/>
      <c r="L120" s="142"/>
      <c r="M120" s="142"/>
      <c r="N120" s="173"/>
      <c r="O120" s="284"/>
      <c r="P120" s="142"/>
      <c r="Q120" s="142"/>
      <c r="R120" s="142"/>
      <c r="S120" s="318"/>
      <c r="T120" s="173"/>
      <c r="U120" s="223"/>
      <c r="V120" s="142"/>
      <c r="W120" s="142"/>
      <c r="X120" s="142"/>
      <c r="Y120" s="142"/>
      <c r="Z120" s="173"/>
      <c r="AA120" s="75"/>
      <c r="AB120" s="142"/>
      <c r="AC120" s="75"/>
      <c r="AD120" s="75"/>
      <c r="AE120" s="75"/>
      <c r="AF120" s="75">
        <f ca="1">ЦветЯчейки</f>
        <v>0</v>
      </c>
      <c r="AG120" s="5"/>
      <c r="AH120" s="5"/>
    </row>
    <row r="121" spans="1:34" s="1" customFormat="1" ht="8.25" hidden="1" customHeight="1" x14ac:dyDescent="0.25">
      <c r="A121" s="182">
        <v>119</v>
      </c>
      <c r="B121" s="262" t="s">
        <v>334</v>
      </c>
      <c r="C121" s="25" t="s">
        <v>1005</v>
      </c>
      <c r="D121" s="225" t="s">
        <v>336</v>
      </c>
      <c r="E121" s="293"/>
      <c r="F121" s="26"/>
      <c r="G121" s="264">
        <v>910206019302</v>
      </c>
      <c r="H121" s="230"/>
      <c r="I121" s="230"/>
      <c r="J121" s="257"/>
      <c r="K121" s="177"/>
      <c r="L121" s="142"/>
      <c r="M121" s="142"/>
      <c r="N121" s="173"/>
      <c r="O121" s="284"/>
      <c r="P121" s="142"/>
      <c r="Q121" s="142"/>
      <c r="R121" s="142"/>
      <c r="S121" s="318"/>
      <c r="T121" s="142"/>
      <c r="U121" s="223"/>
      <c r="V121" s="142"/>
      <c r="W121" s="142"/>
      <c r="X121" s="142"/>
      <c r="Y121" s="142"/>
      <c r="Z121" s="142"/>
      <c r="AA121" s="75"/>
      <c r="AB121" s="142"/>
      <c r="AC121" s="75"/>
      <c r="AD121" s="75"/>
      <c r="AE121" s="75"/>
      <c r="AF121" s="75">
        <f ca="1">ЦветЯчейки</f>
        <v>0</v>
      </c>
      <c r="AG121" s="5"/>
      <c r="AH121" s="5"/>
    </row>
    <row r="122" spans="1:34" s="1" customFormat="1" ht="6.75" hidden="1" customHeight="1" x14ac:dyDescent="0.25">
      <c r="A122" s="182">
        <v>120</v>
      </c>
      <c r="B122" s="262" t="s">
        <v>325</v>
      </c>
      <c r="C122" s="25" t="s">
        <v>1006</v>
      </c>
      <c r="D122" s="225" t="s">
        <v>327</v>
      </c>
      <c r="E122" s="293"/>
      <c r="F122" s="26"/>
      <c r="G122" s="264">
        <v>910200227634</v>
      </c>
      <c r="H122" s="230"/>
      <c r="I122" s="230"/>
      <c r="J122" s="257"/>
      <c r="K122" s="177"/>
      <c r="L122" s="142"/>
      <c r="M122" s="142"/>
      <c r="N122" s="173"/>
      <c r="O122" s="284"/>
      <c r="P122" s="142"/>
      <c r="Q122" s="142"/>
      <c r="R122" s="142"/>
      <c r="S122" s="318"/>
      <c r="T122" s="173"/>
      <c r="U122" s="223"/>
      <c r="V122" s="142"/>
      <c r="W122" s="142"/>
      <c r="X122" s="142"/>
      <c r="Y122" s="142"/>
      <c r="Z122" s="173"/>
      <c r="AA122" s="75"/>
      <c r="AB122" s="142"/>
      <c r="AC122" s="75"/>
      <c r="AD122" s="75"/>
      <c r="AE122" s="75"/>
      <c r="AF122" s="75">
        <f ca="1">ЦветЯчейки</f>
        <v>0</v>
      </c>
      <c r="AG122" s="5"/>
      <c r="AH122" s="5"/>
    </row>
    <row r="123" spans="1:34" s="1" customFormat="1" ht="30" hidden="1" x14ac:dyDescent="0.25">
      <c r="A123" s="182">
        <v>121</v>
      </c>
      <c r="B123" s="164" t="s">
        <v>473</v>
      </c>
      <c r="C123" s="152" t="s">
        <v>1007</v>
      </c>
      <c r="D123" s="221" t="s">
        <v>475</v>
      </c>
      <c r="E123" s="308">
        <v>44196</v>
      </c>
      <c r="F123" s="5" t="s">
        <v>33</v>
      </c>
      <c r="G123" s="78">
        <v>910402859611</v>
      </c>
      <c r="H123" s="5"/>
      <c r="I123" s="5"/>
      <c r="J123" s="183"/>
      <c r="K123" s="177"/>
      <c r="L123" s="142"/>
      <c r="M123" s="142"/>
      <c r="N123" s="173"/>
      <c r="O123" s="284"/>
      <c r="P123" s="142"/>
      <c r="Q123" s="142"/>
      <c r="R123" s="142"/>
      <c r="S123" s="318"/>
      <c r="T123" s="173"/>
      <c r="U123" s="223"/>
      <c r="V123" s="142"/>
      <c r="W123" s="142"/>
      <c r="X123" s="142"/>
      <c r="Y123" s="142"/>
      <c r="Z123" s="173"/>
      <c r="AA123" s="75"/>
      <c r="AB123" s="142"/>
      <c r="AC123" s="75"/>
      <c r="AD123" s="75"/>
      <c r="AE123" s="75"/>
      <c r="AF123" s="75">
        <f ca="1">ЦветЯчейки</f>
        <v>0</v>
      </c>
      <c r="AG123" s="5"/>
      <c r="AH123" s="5"/>
    </row>
    <row r="124" spans="1:34" s="1" customFormat="1" ht="45" x14ac:dyDescent="0.25">
      <c r="A124" s="182">
        <v>122</v>
      </c>
      <c r="B124" s="163" t="s">
        <v>42</v>
      </c>
      <c r="C124" s="152" t="s">
        <v>1008</v>
      </c>
      <c r="D124" s="221" t="s">
        <v>778</v>
      </c>
      <c r="E124" s="308">
        <v>44561</v>
      </c>
      <c r="F124" s="5" t="s">
        <v>33</v>
      </c>
      <c r="G124" s="5">
        <v>9107041038</v>
      </c>
      <c r="H124" s="5"/>
      <c r="I124" s="78">
        <v>3</v>
      </c>
      <c r="J124" s="183"/>
      <c r="K124" s="177"/>
      <c r="L124" s="142"/>
      <c r="M124" s="142"/>
      <c r="N124" s="173"/>
      <c r="O124" s="284"/>
      <c r="P124" s="320"/>
      <c r="Q124" s="142"/>
      <c r="R124" s="142"/>
      <c r="S124" s="318"/>
      <c r="T124" s="173"/>
      <c r="U124" s="223"/>
      <c r="V124" s="320"/>
      <c r="W124" s="142"/>
      <c r="X124" s="142"/>
      <c r="Y124" s="318"/>
      <c r="Z124" s="173"/>
      <c r="AA124" s="75"/>
      <c r="AB124" s="142"/>
      <c r="AC124" s="153" t="s">
        <v>439</v>
      </c>
      <c r="AD124" s="75"/>
      <c r="AE124" s="75"/>
      <c r="AF124" s="75">
        <f ca="1">ЦветЯчейки</f>
        <v>0</v>
      </c>
      <c r="AG124" s="75"/>
      <c r="AH124" s="5"/>
    </row>
    <row r="125" spans="1:34" s="1" customFormat="1" ht="60" x14ac:dyDescent="0.25">
      <c r="A125" s="182">
        <v>123</v>
      </c>
      <c r="B125" s="163" t="s">
        <v>80</v>
      </c>
      <c r="C125" s="152" t="s">
        <v>1009</v>
      </c>
      <c r="D125" s="93"/>
      <c r="E125" s="307"/>
      <c r="F125" s="75"/>
      <c r="G125" s="55">
        <v>9204564019</v>
      </c>
      <c r="H125" s="55"/>
      <c r="I125" s="80">
        <v>2</v>
      </c>
      <c r="J125" s="183"/>
      <c r="K125" s="177"/>
      <c r="L125" s="142"/>
      <c r="M125" s="142"/>
      <c r="N125" s="173"/>
      <c r="O125" s="284"/>
      <c r="P125" s="318"/>
      <c r="Q125" s="142"/>
      <c r="R125" s="142"/>
      <c r="S125" s="318"/>
      <c r="T125" s="173"/>
      <c r="U125" s="223"/>
      <c r="V125" s="320"/>
      <c r="W125" s="142"/>
      <c r="X125" s="142"/>
      <c r="Y125" s="318"/>
      <c r="Z125" s="173"/>
      <c r="AA125" s="75"/>
      <c r="AB125" s="142"/>
      <c r="AC125" s="75"/>
      <c r="AD125" s="75"/>
      <c r="AE125" s="75"/>
      <c r="AF125" s="75">
        <f ca="1">ЦветЯчейки</f>
        <v>0</v>
      </c>
      <c r="AG125" s="5"/>
      <c r="AH125" s="5"/>
    </row>
    <row r="126" spans="1:34" s="1" customFormat="1" ht="60" x14ac:dyDescent="0.25">
      <c r="A126" s="182">
        <v>124</v>
      </c>
      <c r="B126" s="163" t="s">
        <v>131</v>
      </c>
      <c r="C126" s="152" t="s">
        <v>1010</v>
      </c>
      <c r="D126" s="93"/>
      <c r="E126" s="307"/>
      <c r="F126" s="75"/>
      <c r="G126" s="5">
        <v>9111016299</v>
      </c>
      <c r="H126" s="5"/>
      <c r="I126" s="5">
        <v>8</v>
      </c>
      <c r="J126" s="183"/>
      <c r="K126" s="343"/>
      <c r="L126" s="142"/>
      <c r="M126" s="142"/>
      <c r="N126" s="173"/>
      <c r="O126" s="284"/>
      <c r="P126" s="320"/>
      <c r="Q126" s="142"/>
      <c r="R126" s="142"/>
      <c r="S126" s="318"/>
      <c r="T126" s="173"/>
      <c r="U126" s="223"/>
      <c r="V126" s="320"/>
      <c r="W126" s="142"/>
      <c r="X126" s="142"/>
      <c r="Y126" s="318"/>
      <c r="Z126" s="173"/>
      <c r="AA126" s="75"/>
      <c r="AB126" s="142"/>
      <c r="AC126" s="153" t="s">
        <v>439</v>
      </c>
      <c r="AD126" s="75"/>
      <c r="AE126" s="75"/>
      <c r="AF126" s="75">
        <f ca="1">ЦветЯчейки</f>
        <v>0</v>
      </c>
      <c r="AG126" s="5"/>
      <c r="AH126" s="5"/>
    </row>
    <row r="127" spans="1:34" s="1" customFormat="1" ht="45" x14ac:dyDescent="0.25">
      <c r="A127" s="182">
        <v>125</v>
      </c>
      <c r="B127" s="163" t="s">
        <v>62</v>
      </c>
      <c r="C127" s="152" t="s">
        <v>1011</v>
      </c>
      <c r="D127" s="221" t="s">
        <v>772</v>
      </c>
      <c r="E127" s="308">
        <v>44561</v>
      </c>
      <c r="F127" s="5" t="s">
        <v>33</v>
      </c>
      <c r="G127" s="5">
        <v>9111023105</v>
      </c>
      <c r="H127" s="5"/>
      <c r="I127" s="78"/>
      <c r="J127" s="183">
        <v>2</v>
      </c>
      <c r="K127" s="177"/>
      <c r="L127" s="142"/>
      <c r="M127" s="142"/>
      <c r="N127" s="173"/>
      <c r="O127" s="284"/>
      <c r="P127" s="320"/>
      <c r="Q127" s="142"/>
      <c r="R127" s="142"/>
      <c r="S127" s="318"/>
      <c r="T127" s="173"/>
      <c r="U127" s="223"/>
      <c r="V127" s="320"/>
      <c r="W127" s="142"/>
      <c r="X127" s="142"/>
      <c r="Y127" s="318"/>
      <c r="Z127" s="173"/>
      <c r="AA127" s="75"/>
      <c r="AB127" s="173"/>
      <c r="AC127" s="75"/>
      <c r="AD127" s="75"/>
      <c r="AE127" s="75"/>
      <c r="AF127" s="75">
        <f ca="1">ЦветЯчейки</f>
        <v>0</v>
      </c>
      <c r="AG127" s="5"/>
      <c r="AH127" s="5"/>
    </row>
    <row r="128" spans="1:34" s="1" customFormat="1" ht="11.25" hidden="1" customHeight="1" x14ac:dyDescent="0.25">
      <c r="A128" s="182">
        <v>126</v>
      </c>
      <c r="B128" s="262" t="s">
        <v>331</v>
      </c>
      <c r="C128" s="25" t="s">
        <v>1012</v>
      </c>
      <c r="D128" s="225" t="s">
        <v>333</v>
      </c>
      <c r="E128" s="293"/>
      <c r="F128" s="26" t="s">
        <v>33</v>
      </c>
      <c r="G128" s="264">
        <v>9102040305</v>
      </c>
      <c r="H128" s="230"/>
      <c r="I128" s="230"/>
      <c r="J128" s="257"/>
      <c r="K128" s="177"/>
      <c r="L128" s="142"/>
      <c r="M128" s="142"/>
      <c r="N128" s="173"/>
      <c r="O128" s="284"/>
      <c r="P128" s="142"/>
      <c r="Q128" s="142"/>
      <c r="R128" s="142"/>
      <c r="S128" s="318"/>
      <c r="T128" s="173"/>
      <c r="U128" s="223"/>
      <c r="V128" s="142"/>
      <c r="W128" s="142"/>
      <c r="X128" s="142"/>
      <c r="Y128" s="142"/>
      <c r="Z128" s="173"/>
      <c r="AA128" s="75"/>
      <c r="AB128" s="142"/>
      <c r="AC128" s="75"/>
      <c r="AD128" s="75"/>
      <c r="AE128" s="75"/>
      <c r="AF128" s="75">
        <f ca="1">ЦветЯчейки</f>
        <v>0</v>
      </c>
      <c r="AG128" s="5"/>
      <c r="AH128" s="5"/>
    </row>
    <row r="129" spans="1:34" s="1" customFormat="1" ht="30" x14ac:dyDescent="0.25">
      <c r="A129" s="182">
        <v>127</v>
      </c>
      <c r="B129" s="164" t="s">
        <v>109</v>
      </c>
      <c r="C129" s="152" t="s">
        <v>1013</v>
      </c>
      <c r="D129" s="93"/>
      <c r="E129" s="307"/>
      <c r="F129" s="75"/>
      <c r="G129" s="78">
        <v>9204566016</v>
      </c>
      <c r="H129" s="194"/>
      <c r="I129" s="194">
        <v>1</v>
      </c>
      <c r="J129" s="195"/>
      <c r="K129" s="177"/>
      <c r="L129" s="142"/>
      <c r="M129" s="142"/>
      <c r="N129" s="173"/>
      <c r="O129" s="284"/>
      <c r="P129" s="318"/>
      <c r="Q129" s="142"/>
      <c r="R129" s="142"/>
      <c r="S129" s="318"/>
      <c r="T129" s="173"/>
      <c r="U129" s="223"/>
      <c r="V129" s="320"/>
      <c r="W129" s="142"/>
      <c r="X129" s="142"/>
      <c r="Y129" s="318"/>
      <c r="Z129" s="173"/>
      <c r="AA129" s="75"/>
      <c r="AB129" s="142"/>
      <c r="AC129" s="75"/>
      <c r="AD129" s="75"/>
      <c r="AE129" s="75"/>
      <c r="AF129" s="75">
        <f ca="1">ЦветЯчейки</f>
        <v>0</v>
      </c>
      <c r="AG129" s="5"/>
      <c r="AH129" s="5"/>
    </row>
    <row r="130" spans="1:34" s="1" customFormat="1" ht="16.5" hidden="1" customHeight="1" x14ac:dyDescent="0.25">
      <c r="A130" s="182">
        <v>128</v>
      </c>
      <c r="B130" s="26" t="s">
        <v>48</v>
      </c>
      <c r="C130" s="25" t="s">
        <v>1014</v>
      </c>
      <c r="D130" s="41"/>
      <c r="E130" s="296"/>
      <c r="F130" s="75"/>
      <c r="G130" s="26">
        <v>9103001267</v>
      </c>
      <c r="H130" s="194"/>
      <c r="I130" s="194"/>
      <c r="J130" s="195"/>
      <c r="K130" s="177"/>
      <c r="L130" s="142"/>
      <c r="M130" s="142"/>
      <c r="N130" s="173"/>
      <c r="O130" s="284"/>
      <c r="P130" s="142"/>
      <c r="Q130" s="142"/>
      <c r="R130" s="142"/>
      <c r="S130" s="318"/>
      <c r="T130" s="173"/>
      <c r="U130" s="223"/>
      <c r="V130" s="142"/>
      <c r="W130" s="142"/>
      <c r="X130" s="142"/>
      <c r="Y130" s="142"/>
      <c r="Z130" s="173"/>
      <c r="AA130" s="75"/>
      <c r="AB130" s="142"/>
      <c r="AC130" s="142"/>
      <c r="AD130" s="75"/>
      <c r="AE130" s="75"/>
      <c r="AF130" s="75">
        <f ca="1">ЦветЯчейки</f>
        <v>0</v>
      </c>
      <c r="AG130" s="5"/>
      <c r="AH130" s="5"/>
    </row>
    <row r="131" spans="1:34" s="1" customFormat="1" ht="30" x14ac:dyDescent="0.25">
      <c r="A131" s="182">
        <v>129</v>
      </c>
      <c r="B131" s="217" t="s">
        <v>501</v>
      </c>
      <c r="C131" s="218" t="s">
        <v>1015</v>
      </c>
      <c r="D131" s="93"/>
      <c r="E131" s="307"/>
      <c r="F131" s="75"/>
      <c r="G131" s="194">
        <v>9111024363</v>
      </c>
      <c r="H131" s="194"/>
      <c r="I131" s="194">
        <v>1</v>
      </c>
      <c r="J131" s="195"/>
      <c r="K131" s="177"/>
      <c r="L131" s="142"/>
      <c r="M131" s="142"/>
      <c r="N131" s="173"/>
      <c r="O131" s="284"/>
      <c r="P131" s="142"/>
      <c r="Q131" s="142"/>
      <c r="R131" s="142"/>
      <c r="S131" s="318"/>
      <c r="T131" s="142"/>
      <c r="U131" s="223"/>
      <c r="V131" s="320"/>
      <c r="W131" s="142"/>
      <c r="X131" s="142"/>
      <c r="Y131" s="318"/>
      <c r="Z131" s="173"/>
      <c r="AA131" s="75"/>
      <c r="AB131" s="142"/>
      <c r="AC131" s="75"/>
      <c r="AD131" s="75"/>
      <c r="AE131" s="75"/>
      <c r="AF131" s="75">
        <f ca="1">ЦветЯчейки</f>
        <v>0</v>
      </c>
      <c r="AG131" s="5"/>
      <c r="AH131" s="5"/>
    </row>
    <row r="132" spans="1:34" s="1" customFormat="1" ht="45" x14ac:dyDescent="0.25">
      <c r="A132" s="182">
        <v>130</v>
      </c>
      <c r="B132" s="217" t="s">
        <v>610</v>
      </c>
      <c r="C132" s="218" t="s">
        <v>1016</v>
      </c>
      <c r="D132" s="93"/>
      <c r="E132" s="307"/>
      <c r="F132" s="75"/>
      <c r="G132" s="194">
        <v>9204003528</v>
      </c>
      <c r="H132" s="194"/>
      <c r="I132" s="194"/>
      <c r="J132" s="195">
        <v>3</v>
      </c>
      <c r="K132" s="177"/>
      <c r="L132" s="142"/>
      <c r="M132" s="142"/>
      <c r="N132" s="173"/>
      <c r="O132" s="284"/>
      <c r="P132" s="320"/>
      <c r="Q132" s="142"/>
      <c r="R132" s="142"/>
      <c r="S132" s="318"/>
      <c r="T132" s="173"/>
      <c r="U132" s="223"/>
      <c r="V132" s="142"/>
      <c r="W132" s="142"/>
      <c r="X132" s="142"/>
      <c r="Y132" s="142"/>
      <c r="Z132" s="173"/>
      <c r="AA132" s="75"/>
      <c r="AB132" s="142"/>
      <c r="AC132" s="75"/>
      <c r="AD132" s="75"/>
      <c r="AE132" s="75"/>
      <c r="AF132" s="75">
        <f ca="1">ЦветЯчейки</f>
        <v>0</v>
      </c>
      <c r="AG132" s="5"/>
      <c r="AH132" s="5"/>
    </row>
    <row r="133" spans="1:34" s="1" customFormat="1" ht="60" x14ac:dyDescent="0.25">
      <c r="A133" s="182">
        <v>131</v>
      </c>
      <c r="B133" s="217" t="s">
        <v>618</v>
      </c>
      <c r="C133" s="218" t="s">
        <v>1017</v>
      </c>
      <c r="D133" s="93"/>
      <c r="E133" s="307"/>
      <c r="F133" s="75"/>
      <c r="G133" s="194">
        <v>9102255614</v>
      </c>
      <c r="H133" s="194"/>
      <c r="I133" s="194"/>
      <c r="J133" s="195">
        <v>1</v>
      </c>
      <c r="K133" s="177"/>
      <c r="L133" s="142"/>
      <c r="M133" s="142"/>
      <c r="N133" s="173"/>
      <c r="O133" s="284"/>
      <c r="P133" s="318"/>
      <c r="Q133" s="142"/>
      <c r="R133" s="142"/>
      <c r="S133" s="318"/>
      <c r="T133" s="173"/>
      <c r="U133" s="223"/>
      <c r="V133" s="318"/>
      <c r="W133" s="142"/>
      <c r="X133" s="142"/>
      <c r="Y133" s="318"/>
      <c r="Z133" s="173"/>
      <c r="AA133" s="75"/>
      <c r="AB133" s="142"/>
      <c r="AC133" s="153" t="s">
        <v>439</v>
      </c>
      <c r="AD133" s="75"/>
      <c r="AE133" s="75"/>
      <c r="AF133" s="75">
        <f ca="1">ЦветЯчейки</f>
        <v>0</v>
      </c>
      <c r="AG133" s="5"/>
      <c r="AH133" s="5"/>
    </row>
    <row r="134" spans="1:34" s="1" customFormat="1" ht="45" x14ac:dyDescent="0.25">
      <c r="A134" s="182">
        <v>132</v>
      </c>
      <c r="B134" s="217" t="s">
        <v>638</v>
      </c>
      <c r="C134" s="218" t="s">
        <v>1018</v>
      </c>
      <c r="D134" s="101" t="s">
        <v>639</v>
      </c>
      <c r="E134" s="309">
        <v>44561</v>
      </c>
      <c r="F134" s="5" t="s">
        <v>33</v>
      </c>
      <c r="G134" s="194">
        <v>9108005314</v>
      </c>
      <c r="H134" s="194"/>
      <c r="I134" s="194"/>
      <c r="J134" s="195">
        <v>1</v>
      </c>
      <c r="K134" s="177"/>
      <c r="L134" s="142"/>
      <c r="M134" s="142"/>
      <c r="N134" s="173"/>
      <c r="O134" s="284"/>
      <c r="P134" s="142"/>
      <c r="Q134" s="142"/>
      <c r="R134" s="142"/>
      <c r="S134" s="318"/>
      <c r="T134" s="142"/>
      <c r="U134" s="223"/>
      <c r="V134" s="320"/>
      <c r="W134" s="142"/>
      <c r="X134" s="142"/>
      <c r="Y134" s="318"/>
      <c r="Z134" s="173"/>
      <c r="AA134" s="75"/>
      <c r="AB134" s="142"/>
      <c r="AC134" s="142"/>
      <c r="AD134" s="75"/>
      <c r="AE134" s="75"/>
      <c r="AF134" s="75">
        <f ca="1">ЦветЯчейки</f>
        <v>0</v>
      </c>
      <c r="AG134" s="5"/>
      <c r="AH134" s="5"/>
    </row>
    <row r="135" spans="1:34" s="1" customFormat="1" ht="45" x14ac:dyDescent="0.25">
      <c r="A135" s="182">
        <v>133</v>
      </c>
      <c r="B135" s="217" t="s">
        <v>666</v>
      </c>
      <c r="C135" s="218" t="s">
        <v>1019</v>
      </c>
      <c r="D135" s="101" t="s">
        <v>667</v>
      </c>
      <c r="E135" s="309">
        <v>44561</v>
      </c>
      <c r="F135" s="5" t="s">
        <v>33</v>
      </c>
      <c r="G135" s="194">
        <v>9102258090</v>
      </c>
      <c r="H135" s="194"/>
      <c r="I135" s="194"/>
      <c r="J135" s="195">
        <v>2</v>
      </c>
      <c r="K135" s="177"/>
      <c r="L135" s="142"/>
      <c r="M135" s="142"/>
      <c r="N135" s="173"/>
      <c r="O135" s="284"/>
      <c r="P135" s="318"/>
      <c r="Q135" s="142"/>
      <c r="R135" s="142"/>
      <c r="S135" s="318"/>
      <c r="T135" s="173"/>
      <c r="U135" s="223"/>
      <c r="V135" s="320"/>
      <c r="W135" s="142"/>
      <c r="X135" s="142"/>
      <c r="Y135" s="318"/>
      <c r="Z135" s="173"/>
      <c r="AA135" s="75"/>
      <c r="AB135" s="142"/>
      <c r="AC135" s="142"/>
      <c r="AD135" s="75"/>
      <c r="AE135" s="75"/>
      <c r="AF135" s="75">
        <f ca="1">ЦветЯчейки</f>
        <v>0</v>
      </c>
      <c r="AG135" s="5"/>
      <c r="AH135" s="5"/>
    </row>
    <row r="136" spans="1:34" s="1" customFormat="1" ht="45" x14ac:dyDescent="0.25">
      <c r="A136" s="182">
        <v>134</v>
      </c>
      <c r="B136" s="217" t="s">
        <v>668</v>
      </c>
      <c r="C136" s="218" t="s">
        <v>1020</v>
      </c>
      <c r="D136" s="93"/>
      <c r="E136" s="307"/>
      <c r="F136" s="75"/>
      <c r="G136" s="194">
        <v>9204008156</v>
      </c>
      <c r="H136" s="194"/>
      <c r="I136" s="194"/>
      <c r="J136" s="195">
        <v>1</v>
      </c>
      <c r="K136" s="177"/>
      <c r="L136" s="142"/>
      <c r="M136" s="142"/>
      <c r="N136" s="173"/>
      <c r="O136" s="284"/>
      <c r="P136" s="142"/>
      <c r="Q136" s="142"/>
      <c r="R136" s="142"/>
      <c r="S136" s="318"/>
      <c r="T136" s="142"/>
      <c r="U136" s="223"/>
      <c r="V136" s="142"/>
      <c r="W136" s="142"/>
      <c r="X136" s="142"/>
      <c r="Y136" s="142"/>
      <c r="Z136" s="173"/>
      <c r="AA136" s="75"/>
      <c r="AB136" s="142"/>
      <c r="AC136" s="142"/>
      <c r="AD136" s="75"/>
      <c r="AE136" s="75"/>
      <c r="AF136" s="75">
        <f ca="1">ЦветЯчейки</f>
        <v>0</v>
      </c>
      <c r="AG136" s="5"/>
      <c r="AH136" s="5"/>
    </row>
    <row r="137" spans="1:34" s="1" customFormat="1" ht="60" x14ac:dyDescent="0.25">
      <c r="A137" s="182">
        <v>135</v>
      </c>
      <c r="B137" s="217" t="s">
        <v>677</v>
      </c>
      <c r="C137" s="218" t="s">
        <v>1021</v>
      </c>
      <c r="D137" s="93"/>
      <c r="E137" s="307"/>
      <c r="F137" s="75"/>
      <c r="G137" s="194">
        <v>9103002380</v>
      </c>
      <c r="H137" s="194"/>
      <c r="I137" s="194"/>
      <c r="J137" s="195">
        <v>1</v>
      </c>
      <c r="K137" s="177"/>
      <c r="L137" s="142"/>
      <c r="M137" s="142"/>
      <c r="N137" s="173"/>
      <c r="O137" s="284"/>
      <c r="P137" s="320"/>
      <c r="Q137" s="142"/>
      <c r="R137" s="142"/>
      <c r="S137" s="318"/>
      <c r="T137" s="173"/>
      <c r="U137" s="223"/>
      <c r="V137" s="320"/>
      <c r="W137" s="142"/>
      <c r="X137" s="142"/>
      <c r="Y137" s="318"/>
      <c r="Z137" s="173"/>
      <c r="AA137" s="75"/>
      <c r="AB137" s="142"/>
      <c r="AC137" s="142"/>
      <c r="AD137" s="75"/>
      <c r="AE137" s="75"/>
      <c r="AF137" s="75">
        <f ca="1">ЦветЯчейки</f>
        <v>0</v>
      </c>
      <c r="AG137" s="5"/>
      <c r="AH137" s="5"/>
    </row>
    <row r="138" spans="1:34" s="1" customFormat="1" ht="60" x14ac:dyDescent="0.25">
      <c r="A138" s="182">
        <v>136</v>
      </c>
      <c r="B138" s="217" t="s">
        <v>679</v>
      </c>
      <c r="C138" s="218" t="s">
        <v>1022</v>
      </c>
      <c r="D138" s="93"/>
      <c r="E138" s="307"/>
      <c r="F138" s="75"/>
      <c r="G138" s="194">
        <v>9103014918</v>
      </c>
      <c r="H138" s="194"/>
      <c r="I138" s="194"/>
      <c r="J138" s="195">
        <v>1</v>
      </c>
      <c r="K138" s="177"/>
      <c r="L138" s="142"/>
      <c r="M138" s="142"/>
      <c r="N138" s="173"/>
      <c r="O138" s="284"/>
      <c r="P138" s="318"/>
      <c r="Q138" s="142"/>
      <c r="R138" s="142"/>
      <c r="S138" s="318"/>
      <c r="T138" s="173"/>
      <c r="U138" s="223"/>
      <c r="V138" s="318"/>
      <c r="W138" s="142"/>
      <c r="X138" s="142"/>
      <c r="Y138" s="318"/>
      <c r="Z138" s="173"/>
      <c r="AA138" s="75"/>
      <c r="AB138" s="142"/>
      <c r="AC138" s="142"/>
      <c r="AD138" s="75"/>
      <c r="AE138" s="75"/>
      <c r="AF138" s="75">
        <f ca="1">ЦветЯчейки</f>
        <v>0</v>
      </c>
      <c r="AG138" s="5"/>
      <c r="AH138" s="5"/>
    </row>
    <row r="139" spans="1:34" s="1" customFormat="1" ht="30" x14ac:dyDescent="0.25">
      <c r="A139" s="182">
        <v>137</v>
      </c>
      <c r="B139" s="217" t="s">
        <v>701</v>
      </c>
      <c r="C139" s="218" t="s">
        <v>1023</v>
      </c>
      <c r="D139" s="93"/>
      <c r="E139" s="307"/>
      <c r="F139" s="75"/>
      <c r="G139" s="194">
        <v>9203004751</v>
      </c>
      <c r="H139" s="194"/>
      <c r="I139" s="194"/>
      <c r="J139" s="195">
        <v>1</v>
      </c>
      <c r="K139" s="177"/>
      <c r="L139" s="142"/>
      <c r="M139" s="142"/>
      <c r="N139" s="173"/>
      <c r="O139" s="284"/>
      <c r="P139" s="142"/>
      <c r="Q139" s="142"/>
      <c r="R139" s="142"/>
      <c r="S139" s="318"/>
      <c r="T139" s="142"/>
      <c r="U139" s="223"/>
      <c r="V139" s="142"/>
      <c r="W139" s="142"/>
      <c r="X139" s="142"/>
      <c r="Y139" s="142"/>
      <c r="Z139" s="173"/>
      <c r="AA139" s="75"/>
      <c r="AB139" s="142"/>
      <c r="AC139" s="142"/>
      <c r="AD139" s="75"/>
      <c r="AE139" s="75"/>
      <c r="AF139" s="75">
        <f ca="1">ЦветЯчейки</f>
        <v>0</v>
      </c>
      <c r="AG139" s="5"/>
      <c r="AH139" s="5"/>
    </row>
    <row r="140" spans="1:34" s="1" customFormat="1" ht="75" x14ac:dyDescent="0.25">
      <c r="A140" s="182">
        <v>138</v>
      </c>
      <c r="B140" s="217" t="s">
        <v>715</v>
      </c>
      <c r="C140" s="218" t="s">
        <v>1024</v>
      </c>
      <c r="D140" s="221" t="s">
        <v>716</v>
      </c>
      <c r="E140" s="308">
        <v>44561</v>
      </c>
      <c r="F140" s="5" t="s">
        <v>33</v>
      </c>
      <c r="G140" s="194">
        <v>9102013703</v>
      </c>
      <c r="H140" s="194"/>
      <c r="I140" s="194"/>
      <c r="J140" s="195">
        <v>1</v>
      </c>
      <c r="K140" s="177"/>
      <c r="L140" s="142"/>
      <c r="M140" s="142"/>
      <c r="N140" s="173"/>
      <c r="O140" s="284"/>
      <c r="P140" s="142"/>
      <c r="Q140" s="142"/>
      <c r="R140" s="142"/>
      <c r="S140" s="318"/>
      <c r="T140" s="142"/>
      <c r="U140" s="223"/>
      <c r="V140" s="142"/>
      <c r="W140" s="142"/>
      <c r="X140" s="142"/>
      <c r="Y140" s="142"/>
      <c r="Z140" s="173"/>
      <c r="AA140" s="75"/>
      <c r="AB140" s="142"/>
      <c r="AC140" s="142"/>
      <c r="AD140" s="75"/>
      <c r="AE140" s="75"/>
      <c r="AF140" s="75">
        <f ca="1">ЦветЯчейки</f>
        <v>0</v>
      </c>
      <c r="AG140" s="5"/>
      <c r="AH140" s="5"/>
    </row>
    <row r="141" spans="1:34" s="1" customFormat="1" ht="60" x14ac:dyDescent="0.25">
      <c r="A141" s="182">
        <v>139</v>
      </c>
      <c r="B141" s="217" t="s">
        <v>768</v>
      </c>
      <c r="C141" s="218" t="s">
        <v>1025</v>
      </c>
      <c r="D141" s="221" t="s">
        <v>769</v>
      </c>
      <c r="E141" s="308">
        <v>44561</v>
      </c>
      <c r="F141" s="5" t="s">
        <v>33</v>
      </c>
      <c r="G141" s="194">
        <v>9111007142</v>
      </c>
      <c r="H141" s="194"/>
      <c r="I141" s="194">
        <v>1</v>
      </c>
      <c r="J141" s="195"/>
      <c r="K141" s="177"/>
      <c r="L141" s="142"/>
      <c r="M141" s="142"/>
      <c r="N141" s="173"/>
      <c r="O141" s="284"/>
      <c r="P141" s="318"/>
      <c r="Q141" s="142"/>
      <c r="R141" s="142"/>
      <c r="S141" s="318"/>
      <c r="T141" s="173"/>
      <c r="U141" s="223"/>
      <c r="V141" s="320"/>
      <c r="W141" s="142"/>
      <c r="X141" s="142"/>
      <c r="Y141" s="318"/>
      <c r="Z141" s="173"/>
      <c r="AA141" s="75"/>
      <c r="AB141" s="177"/>
      <c r="AC141" s="142"/>
      <c r="AD141" s="75"/>
      <c r="AE141" s="173"/>
      <c r="AF141" s="75">
        <f ca="1">ЦветЯчейки</f>
        <v>0</v>
      </c>
      <c r="AG141" s="75"/>
      <c r="AH141" s="5"/>
    </row>
    <row r="142" spans="1:34" s="1" customFormat="1" ht="60" x14ac:dyDescent="0.25">
      <c r="A142" s="182">
        <v>140</v>
      </c>
      <c r="B142" s="217" t="s">
        <v>723</v>
      </c>
      <c r="C142" s="218" t="s">
        <v>1026</v>
      </c>
      <c r="D142" s="221" t="s">
        <v>724</v>
      </c>
      <c r="E142" s="308">
        <v>44561</v>
      </c>
      <c r="F142" s="5" t="s">
        <v>33</v>
      </c>
      <c r="G142" s="194">
        <v>9111015295</v>
      </c>
      <c r="H142" s="194"/>
      <c r="I142" s="194"/>
      <c r="J142" s="195">
        <v>1</v>
      </c>
      <c r="K142" s="177"/>
      <c r="L142" s="142"/>
      <c r="M142" s="142"/>
      <c r="N142" s="173"/>
      <c r="O142" s="284"/>
      <c r="P142" s="142"/>
      <c r="Q142" s="142"/>
      <c r="R142" s="142"/>
      <c r="S142" s="318"/>
      <c r="T142" s="142"/>
      <c r="U142" s="223"/>
      <c r="V142" s="142"/>
      <c r="W142" s="142"/>
      <c r="X142" s="142"/>
      <c r="Y142" s="142"/>
      <c r="Z142" s="173"/>
      <c r="AA142" s="75"/>
      <c r="AB142" s="142"/>
      <c r="AC142" s="142"/>
      <c r="AD142" s="75"/>
      <c r="AE142" s="75"/>
      <c r="AF142" s="75">
        <f ca="1">ЦветЯчейки</f>
        <v>0</v>
      </c>
      <c r="AG142" s="5"/>
      <c r="AH142" s="5"/>
    </row>
    <row r="143" spans="1:34" s="1" customFormat="1" ht="75" x14ac:dyDescent="0.25">
      <c r="A143" s="182">
        <v>141</v>
      </c>
      <c r="B143" s="217" t="s">
        <v>823</v>
      </c>
      <c r="C143" s="218" t="s">
        <v>1027</v>
      </c>
      <c r="D143" s="221" t="s">
        <v>824</v>
      </c>
      <c r="E143" s="308">
        <v>44561</v>
      </c>
      <c r="F143" s="5" t="s">
        <v>33</v>
      </c>
      <c r="G143" s="194">
        <v>9102051755</v>
      </c>
      <c r="H143" s="194"/>
      <c r="I143" s="194">
        <v>1</v>
      </c>
      <c r="J143" s="195"/>
      <c r="K143" s="177"/>
      <c r="L143" s="142"/>
      <c r="M143" s="142"/>
      <c r="N143" s="173"/>
      <c r="O143" s="284"/>
      <c r="P143" s="177"/>
      <c r="Q143" s="142"/>
      <c r="R143" s="142"/>
      <c r="S143" s="318"/>
      <c r="T143" s="142"/>
      <c r="U143" s="223"/>
      <c r="V143" s="320"/>
      <c r="W143" s="142"/>
      <c r="X143" s="142"/>
      <c r="Y143" s="318"/>
      <c r="Z143" s="173"/>
      <c r="AA143" s="75"/>
      <c r="AB143" s="142"/>
      <c r="AC143" s="142"/>
      <c r="AD143" s="75"/>
      <c r="AE143" s="75"/>
      <c r="AF143" s="75">
        <f ca="1">ЦветЯчейки</f>
        <v>0</v>
      </c>
      <c r="AG143" s="5"/>
      <c r="AH143" s="5"/>
    </row>
    <row r="144" spans="1:34" s="1" customFormat="1" ht="75" x14ac:dyDescent="0.25">
      <c r="A144" s="182">
        <v>142</v>
      </c>
      <c r="B144" s="217" t="s">
        <v>1069</v>
      </c>
      <c r="C144" s="218" t="s">
        <v>1070</v>
      </c>
      <c r="D144" s="93" t="s">
        <v>1071</v>
      </c>
      <c r="E144" s="307">
        <v>44561</v>
      </c>
      <c r="F144" s="5" t="s">
        <v>33</v>
      </c>
      <c r="G144" s="194">
        <v>9111004455</v>
      </c>
      <c r="H144" s="194"/>
      <c r="I144" s="194">
        <v>1</v>
      </c>
      <c r="J144" s="195"/>
      <c r="K144" s="177"/>
      <c r="L144" s="142"/>
      <c r="M144" s="142"/>
      <c r="N144" s="173"/>
      <c r="O144" s="284"/>
      <c r="P144" s="177"/>
      <c r="Q144" s="142"/>
      <c r="R144" s="142"/>
      <c r="S144" s="318"/>
      <c r="T144" s="142"/>
      <c r="U144" s="223"/>
      <c r="V144" s="142"/>
      <c r="W144" s="142"/>
      <c r="X144" s="142"/>
      <c r="Y144" s="142"/>
      <c r="Z144" s="173"/>
      <c r="AA144" s="75"/>
      <c r="AB144" s="142"/>
      <c r="AC144" s="153" t="s">
        <v>439</v>
      </c>
      <c r="AD144" s="75"/>
      <c r="AE144" s="75"/>
      <c r="AF144" s="75"/>
      <c r="AG144" s="5"/>
      <c r="AH144" s="5"/>
    </row>
    <row r="145" spans="1:34" s="1" customFormat="1" ht="45" x14ac:dyDescent="0.25">
      <c r="A145" s="182"/>
      <c r="B145" s="217" t="s">
        <v>1137</v>
      </c>
      <c r="C145" s="218" t="s">
        <v>1138</v>
      </c>
      <c r="D145" s="221" t="s">
        <v>1139</v>
      </c>
      <c r="E145" s="307">
        <v>44561</v>
      </c>
      <c r="F145" s="5" t="s">
        <v>33</v>
      </c>
      <c r="G145" s="194">
        <v>9108111231</v>
      </c>
      <c r="H145" s="194"/>
      <c r="I145" s="194"/>
      <c r="J145" s="195">
        <v>1</v>
      </c>
      <c r="K145" s="177"/>
      <c r="L145" s="142"/>
      <c r="M145" s="142"/>
      <c r="N145" s="173"/>
      <c r="O145" s="284"/>
      <c r="P145" s="177"/>
      <c r="Q145" s="142"/>
      <c r="R145" s="142"/>
      <c r="S145" s="318"/>
      <c r="T145" s="142"/>
      <c r="U145" s="223"/>
      <c r="V145" s="142"/>
      <c r="W145" s="142"/>
      <c r="X145" s="142"/>
      <c r="Y145" s="142"/>
      <c r="Z145" s="173"/>
      <c r="AA145" s="75"/>
      <c r="AB145" s="142"/>
      <c r="AC145" s="153" t="s">
        <v>439</v>
      </c>
      <c r="AD145" s="75"/>
      <c r="AE145" s="75"/>
      <c r="AF145" s="75"/>
      <c r="AG145" s="5"/>
      <c r="AH145" s="5"/>
    </row>
    <row r="146" spans="1:34" s="1" customFormat="1" ht="75" x14ac:dyDescent="0.25">
      <c r="A146" s="182">
        <v>143</v>
      </c>
      <c r="B146" s="327" t="s">
        <v>1049</v>
      </c>
      <c r="C146" s="328" t="s">
        <v>1050</v>
      </c>
      <c r="D146" s="326" t="s">
        <v>1051</v>
      </c>
      <c r="E146" s="308">
        <v>44561</v>
      </c>
      <c r="F146" s="5" t="s">
        <v>33</v>
      </c>
      <c r="G146" s="194">
        <v>6154138497</v>
      </c>
      <c r="H146" s="194"/>
      <c r="I146" s="194"/>
      <c r="J146" s="195">
        <v>1</v>
      </c>
      <c r="K146" s="177"/>
      <c r="L146" s="142"/>
      <c r="M146" s="142"/>
      <c r="N146" s="173"/>
      <c r="O146" s="284"/>
      <c r="P146" s="177"/>
      <c r="Q146" s="142"/>
      <c r="R146" s="142"/>
      <c r="S146" s="318"/>
      <c r="T146" s="142"/>
      <c r="U146" s="223"/>
      <c r="V146" s="142"/>
      <c r="W146" s="142"/>
      <c r="X146" s="142"/>
      <c r="Y146" s="142"/>
      <c r="Z146" s="173"/>
      <c r="AA146" s="75"/>
      <c r="AB146" s="142"/>
      <c r="AC146" s="142"/>
      <c r="AD146" s="75"/>
      <c r="AE146" s="75"/>
      <c r="AF146" s="75"/>
      <c r="AG146" s="5"/>
      <c r="AH146" s="5"/>
    </row>
    <row r="147" spans="1:34" s="1" customFormat="1" ht="60" x14ac:dyDescent="0.25">
      <c r="A147" s="182">
        <v>96</v>
      </c>
      <c r="B147" s="214" t="s">
        <v>206</v>
      </c>
      <c r="C147" s="214" t="s">
        <v>982</v>
      </c>
      <c r="D147" s="93"/>
      <c r="E147" s="296"/>
      <c r="F147" s="75"/>
      <c r="G147" s="3">
        <v>910003300</v>
      </c>
      <c r="H147" s="5"/>
      <c r="I147" s="5"/>
      <c r="J147" s="183">
        <v>39</v>
      </c>
      <c r="K147" s="177"/>
      <c r="L147" s="142"/>
      <c r="M147" s="142"/>
      <c r="N147" s="173"/>
      <c r="O147" s="284"/>
      <c r="P147" s="341"/>
      <c r="Q147" s="142"/>
      <c r="R147" s="136"/>
      <c r="S147" s="320"/>
      <c r="T147" s="173"/>
      <c r="U147" s="223"/>
      <c r="V147" s="341"/>
      <c r="W147" s="142"/>
      <c r="X147" s="136"/>
      <c r="Y147" s="320"/>
      <c r="Z147" s="173"/>
      <c r="AA147" s="75"/>
      <c r="AB147" s="142"/>
      <c r="AC147" s="75"/>
      <c r="AD147" s="75"/>
      <c r="AE147" s="75"/>
      <c r="AF147" s="75">
        <f ca="1">ЦветЯчейки</f>
        <v>0</v>
      </c>
      <c r="AG147" s="5"/>
      <c r="AH147" s="5"/>
    </row>
    <row r="148" spans="1:34" s="1" customFormat="1" ht="90" x14ac:dyDescent="0.25">
      <c r="A148" s="182">
        <v>144</v>
      </c>
      <c r="B148" s="214" t="s">
        <v>492</v>
      </c>
      <c r="C148" s="214" t="s">
        <v>1028</v>
      </c>
      <c r="D148" s="241"/>
      <c r="E148" s="296"/>
      <c r="F148" s="75"/>
      <c r="G148" s="194">
        <v>901017000</v>
      </c>
      <c r="H148" s="194"/>
      <c r="I148" s="194"/>
      <c r="J148" s="195">
        <v>5</v>
      </c>
      <c r="K148" s="177"/>
      <c r="L148" s="142"/>
      <c r="M148" s="142"/>
      <c r="N148" s="173"/>
      <c r="O148" s="284"/>
      <c r="P148" s="341"/>
      <c r="Q148" s="142"/>
      <c r="R148" s="136"/>
      <c r="S148" s="320"/>
      <c r="T148" s="173"/>
      <c r="U148" s="223"/>
      <c r="V148" s="318"/>
      <c r="W148" s="142"/>
      <c r="X148" s="142"/>
      <c r="Y148" s="318"/>
      <c r="Z148" s="173"/>
      <c r="AA148" s="75"/>
      <c r="AB148" s="142"/>
      <c r="AC148" s="75"/>
      <c r="AD148" s="75"/>
      <c r="AE148" s="75"/>
      <c r="AF148" s="75">
        <f ca="1">ЦветЯчейки</f>
        <v>0</v>
      </c>
      <c r="AG148" s="5"/>
      <c r="AH148" s="5"/>
    </row>
    <row r="149" spans="1:34" s="1" customFormat="1" ht="60" x14ac:dyDescent="0.25">
      <c r="A149" s="182">
        <v>145</v>
      </c>
      <c r="B149" s="214" t="s">
        <v>494</v>
      </c>
      <c r="C149" s="214" t="s">
        <v>1029</v>
      </c>
      <c r="D149" s="93"/>
      <c r="E149" s="296"/>
      <c r="F149" s="75"/>
      <c r="G149" s="194">
        <v>901016983</v>
      </c>
      <c r="H149" s="194"/>
      <c r="I149" s="194"/>
      <c r="J149" s="195">
        <v>1</v>
      </c>
      <c r="K149" s="177"/>
      <c r="L149" s="142"/>
      <c r="M149" s="142"/>
      <c r="N149" s="173"/>
      <c r="O149" s="284"/>
      <c r="P149" s="341"/>
      <c r="Q149" s="142"/>
      <c r="R149" s="136"/>
      <c r="S149" s="320"/>
      <c r="T149" s="173"/>
      <c r="U149" s="223"/>
      <c r="V149" s="318"/>
      <c r="W149" s="142"/>
      <c r="X149" s="142"/>
      <c r="Y149" s="318"/>
      <c r="Z149" s="173"/>
      <c r="AA149" s="75"/>
      <c r="AB149" s="142"/>
      <c r="AC149" s="75"/>
      <c r="AD149" s="75"/>
      <c r="AE149" s="75"/>
      <c r="AF149" s="75">
        <f ca="1">ЦветЯчейки</f>
        <v>0</v>
      </c>
      <c r="AG149" s="5"/>
      <c r="AH149" s="5"/>
    </row>
    <row r="150" spans="1:34" s="1" customFormat="1" ht="117" customHeight="1" x14ac:dyDescent="0.25">
      <c r="A150" s="182">
        <v>146</v>
      </c>
      <c r="B150" s="214" t="s">
        <v>545</v>
      </c>
      <c r="C150" s="231" t="s">
        <v>1030</v>
      </c>
      <c r="D150" s="93"/>
      <c r="E150" s="290"/>
      <c r="F150" s="75"/>
      <c r="G150" s="194">
        <v>901002282</v>
      </c>
      <c r="H150" s="194"/>
      <c r="I150" s="194"/>
      <c r="J150" s="195">
        <v>33</v>
      </c>
      <c r="K150" s="177"/>
      <c r="L150" s="142"/>
      <c r="M150" s="142"/>
      <c r="N150" s="173"/>
      <c r="O150" s="284"/>
      <c r="P150" s="318"/>
      <c r="Q150" s="142"/>
      <c r="R150" s="142"/>
      <c r="S150" s="318"/>
      <c r="T150" s="173"/>
      <c r="U150" s="223"/>
      <c r="V150" s="318"/>
      <c r="W150" s="142"/>
      <c r="X150" s="142"/>
      <c r="Y150" s="318"/>
      <c r="Z150" s="173"/>
      <c r="AA150" s="75"/>
      <c r="AB150" s="142"/>
      <c r="AC150" s="75"/>
      <c r="AD150" s="75"/>
      <c r="AE150" s="75"/>
      <c r="AF150" s="75">
        <f ca="1">ЦветЯчейки</f>
        <v>0</v>
      </c>
      <c r="AG150" s="5"/>
      <c r="AH150" s="5"/>
    </row>
    <row r="151" spans="1:34" s="1" customFormat="1" ht="76.5" customHeight="1" x14ac:dyDescent="0.25">
      <c r="A151" s="182">
        <v>147</v>
      </c>
      <c r="B151" s="214" t="s">
        <v>564</v>
      </c>
      <c r="C151" s="231" t="s">
        <v>1031</v>
      </c>
      <c r="D151" s="241"/>
      <c r="E151" s="347"/>
      <c r="F151" s="75"/>
      <c r="G151" s="194">
        <v>917026673</v>
      </c>
      <c r="H151" s="194"/>
      <c r="I151" s="194">
        <v>1</v>
      </c>
      <c r="J151" s="195"/>
      <c r="K151" s="177"/>
      <c r="L151" s="142"/>
      <c r="M151" s="142"/>
      <c r="N151" s="173"/>
      <c r="O151" s="284"/>
      <c r="P151" s="318"/>
      <c r="Q151" s="142"/>
      <c r="R151" s="142"/>
      <c r="S151" s="318"/>
      <c r="T151" s="173"/>
      <c r="U151" s="223"/>
      <c r="V151" s="142"/>
      <c r="W151" s="142"/>
      <c r="X151" s="142"/>
      <c r="Y151" s="142"/>
      <c r="Z151" s="142"/>
      <c r="AA151" s="75"/>
      <c r="AB151" s="142"/>
      <c r="AC151" s="75"/>
      <c r="AD151" s="75"/>
      <c r="AE151" s="75"/>
      <c r="AF151" s="75">
        <f ca="1">ЦветЯчейки</f>
        <v>0</v>
      </c>
      <c r="AG151" s="5"/>
      <c r="AH151" s="5"/>
    </row>
    <row r="152" spans="1:34" s="1" customFormat="1" ht="99.75" customHeight="1" x14ac:dyDescent="0.25">
      <c r="A152" s="182">
        <v>148</v>
      </c>
      <c r="B152" s="214" t="s">
        <v>584</v>
      </c>
      <c r="C152" s="231" t="s">
        <v>1032</v>
      </c>
      <c r="D152" s="312" t="s">
        <v>804</v>
      </c>
      <c r="E152" s="313">
        <v>44211</v>
      </c>
      <c r="F152" s="5" t="s">
        <v>33</v>
      </c>
      <c r="G152" s="194">
        <v>901027093</v>
      </c>
      <c r="H152" s="194"/>
      <c r="I152" s="194"/>
      <c r="J152" s="195">
        <v>7</v>
      </c>
      <c r="K152" s="177"/>
      <c r="L152" s="142"/>
      <c r="M152" s="142"/>
      <c r="N152" s="173"/>
      <c r="O152" s="284"/>
      <c r="P152" s="320"/>
      <c r="Q152" s="142"/>
      <c r="R152" s="136"/>
      <c r="S152" s="320"/>
      <c r="T152" s="173"/>
      <c r="U152" s="223"/>
      <c r="V152" s="318"/>
      <c r="W152" s="142"/>
      <c r="X152" s="136"/>
      <c r="Y152" s="318"/>
      <c r="Z152" s="173"/>
      <c r="AA152" s="75"/>
      <c r="AB152" s="142"/>
      <c r="AC152" s="75"/>
      <c r="AD152" s="75"/>
      <c r="AE152" s="75"/>
      <c r="AF152" s="75">
        <f ca="1">ЦветЯчейки</f>
        <v>0</v>
      </c>
      <c r="AG152" s="5"/>
      <c r="AH152" s="5"/>
    </row>
    <row r="153" spans="1:34" s="1" customFormat="1" ht="76.5" customHeight="1" x14ac:dyDescent="0.25">
      <c r="A153" s="182">
        <v>149</v>
      </c>
      <c r="B153" s="214" t="s">
        <v>651</v>
      </c>
      <c r="C153" s="231" t="s">
        <v>1033</v>
      </c>
      <c r="D153" s="241" t="s">
        <v>865</v>
      </c>
      <c r="E153" s="314" t="s">
        <v>864</v>
      </c>
      <c r="F153" s="5" t="s">
        <v>33</v>
      </c>
      <c r="G153" s="194">
        <v>902009354</v>
      </c>
      <c r="H153" s="194"/>
      <c r="I153" s="194"/>
      <c r="J153" s="195">
        <v>15</v>
      </c>
      <c r="K153" s="177"/>
      <c r="L153" s="142"/>
      <c r="M153" s="75"/>
      <c r="N153" s="173"/>
      <c r="O153" s="284"/>
      <c r="P153" s="142"/>
      <c r="Q153" s="142"/>
      <c r="R153" s="142"/>
      <c r="S153" s="318"/>
      <c r="T153" s="173"/>
      <c r="U153" s="223"/>
      <c r="V153" s="320"/>
      <c r="W153" s="142"/>
      <c r="X153" s="136"/>
      <c r="Y153" s="318"/>
      <c r="Z153" s="173"/>
      <c r="AA153" s="75"/>
      <c r="AB153" s="142"/>
      <c r="AC153" s="75"/>
      <c r="AD153" s="75"/>
      <c r="AE153" s="75"/>
      <c r="AF153" s="75">
        <f ca="1">ЦветЯчейки</f>
        <v>0</v>
      </c>
      <c r="AG153" s="5"/>
      <c r="AH153" s="5"/>
    </row>
    <row r="154" spans="1:34" s="1" customFormat="1" ht="76.5" customHeight="1" x14ac:dyDescent="0.25">
      <c r="A154" s="182">
        <v>150</v>
      </c>
      <c r="B154" s="214" t="s">
        <v>688</v>
      </c>
      <c r="C154" s="231" t="s">
        <v>1034</v>
      </c>
      <c r="D154" s="241"/>
      <c r="E154" s="314"/>
      <c r="F154" s="5"/>
      <c r="G154" s="194">
        <v>906002712</v>
      </c>
      <c r="H154" s="194"/>
      <c r="I154" s="194"/>
      <c r="J154" s="195">
        <v>10</v>
      </c>
      <c r="K154" s="177"/>
      <c r="L154" s="142"/>
      <c r="M154" s="75"/>
      <c r="N154" s="173"/>
      <c r="O154" s="284"/>
      <c r="P154" s="142"/>
      <c r="Q154" s="142"/>
      <c r="R154" s="142"/>
      <c r="S154" s="318"/>
      <c r="T154" s="173"/>
      <c r="U154" s="223"/>
      <c r="V154" s="142"/>
      <c r="W154" s="142"/>
      <c r="X154" s="142"/>
      <c r="Y154" s="142"/>
      <c r="Z154" s="173"/>
      <c r="AA154" s="75"/>
      <c r="AB154" s="142"/>
      <c r="AC154" s="75"/>
      <c r="AD154" s="75"/>
      <c r="AE154" s="75"/>
      <c r="AF154" s="75">
        <f ca="1">ЦветЯчейки</f>
        <v>0</v>
      </c>
      <c r="AG154" s="5"/>
      <c r="AH154" s="5"/>
    </row>
    <row r="155" spans="1:34" s="1" customFormat="1" ht="76.5" customHeight="1" x14ac:dyDescent="0.25">
      <c r="A155" s="182">
        <v>151</v>
      </c>
      <c r="B155" s="214" t="s">
        <v>1076</v>
      </c>
      <c r="C155" s="231" t="s">
        <v>1077</v>
      </c>
      <c r="D155" s="215"/>
      <c r="E155" s="314"/>
      <c r="F155" s="5"/>
      <c r="G155" s="194">
        <v>917021065</v>
      </c>
      <c r="H155" s="194"/>
      <c r="I155" s="194"/>
      <c r="J155" s="195"/>
      <c r="K155" s="333"/>
      <c r="L155" s="336"/>
      <c r="M155" s="278"/>
      <c r="N155" s="173"/>
      <c r="O155" s="284"/>
      <c r="P155" s="142"/>
      <c r="Q155" s="142"/>
      <c r="R155" s="142"/>
      <c r="S155" s="318"/>
      <c r="T155" s="173"/>
      <c r="U155" s="223"/>
      <c r="V155" s="177"/>
      <c r="W155" s="142"/>
      <c r="X155" s="142"/>
      <c r="Y155" s="142"/>
      <c r="Z155" s="173"/>
      <c r="AA155" s="75"/>
      <c r="AB155" s="142"/>
      <c r="AC155" s="143" t="s">
        <v>717</v>
      </c>
      <c r="AD155" s="75"/>
      <c r="AE155" s="75"/>
      <c r="AF155" s="75"/>
      <c r="AG155" s="5"/>
      <c r="AH155" s="5"/>
    </row>
    <row r="156" spans="1:34" s="1" customFormat="1" ht="24.75" customHeight="1" x14ac:dyDescent="0.25">
      <c r="A156" s="420">
        <v>152</v>
      </c>
      <c r="B156" s="421" t="s">
        <v>660</v>
      </c>
      <c r="C156" s="424" t="s">
        <v>1035</v>
      </c>
      <c r="D156" s="405" t="s">
        <v>705</v>
      </c>
      <c r="E156" s="307">
        <v>44286</v>
      </c>
      <c r="F156" s="369" t="s">
        <v>33</v>
      </c>
      <c r="G156" s="369">
        <v>2631017987</v>
      </c>
      <c r="H156" s="369"/>
      <c r="I156" s="369"/>
      <c r="J156" s="363">
        <v>37</v>
      </c>
      <c r="K156" s="432"/>
      <c r="L156" s="390"/>
      <c r="M156" s="390"/>
      <c r="N156" s="173"/>
      <c r="O156" s="284"/>
      <c r="P156" s="142"/>
      <c r="Q156" s="142"/>
      <c r="R156" s="142"/>
      <c r="S156" s="318"/>
      <c r="T156" s="173"/>
      <c r="U156" s="223"/>
      <c r="V156" s="341"/>
      <c r="W156" s="142"/>
      <c r="X156" s="136"/>
      <c r="Y156" s="136"/>
      <c r="Z156" s="173"/>
      <c r="AA156" s="223"/>
      <c r="AB156" s="341"/>
      <c r="AC156" s="153" t="s">
        <v>417</v>
      </c>
      <c r="AD156" s="245">
        <v>1093</v>
      </c>
      <c r="AE156" s="245">
        <v>3750</v>
      </c>
      <c r="AF156" s="75">
        <f ca="1">ЦветЯчейки</f>
        <v>3</v>
      </c>
      <c r="AG156" s="5"/>
      <c r="AH156" s="5"/>
    </row>
    <row r="157" spans="1:34" s="1" customFormat="1" ht="24" customHeight="1" x14ac:dyDescent="0.25">
      <c r="A157" s="420"/>
      <c r="B157" s="422"/>
      <c r="C157" s="425"/>
      <c r="D157" s="406"/>
      <c r="E157" s="307">
        <v>44286</v>
      </c>
      <c r="F157" s="370"/>
      <c r="G157" s="370"/>
      <c r="H157" s="370"/>
      <c r="I157" s="370"/>
      <c r="J157" s="364"/>
      <c r="K157" s="433"/>
      <c r="L157" s="391"/>
      <c r="M157" s="391"/>
      <c r="N157" s="173"/>
      <c r="O157" s="284"/>
      <c r="P157" s="142"/>
      <c r="Q157" s="142"/>
      <c r="R157" s="142"/>
      <c r="S157" s="318"/>
      <c r="T157" s="173"/>
      <c r="U157" s="223"/>
      <c r="V157" s="341"/>
      <c r="W157" s="142"/>
      <c r="X157" s="136"/>
      <c r="Y157" s="136"/>
      <c r="Z157" s="173"/>
      <c r="AA157" s="75"/>
      <c r="AB157" s="142"/>
      <c r="AC157" s="75"/>
      <c r="AD157" s="75"/>
      <c r="AE157" s="75"/>
      <c r="AF157" s="75">
        <f ca="1">ЦветЯчейки</f>
        <v>0</v>
      </c>
      <c r="AG157" s="5"/>
      <c r="AH157" s="5"/>
    </row>
    <row r="158" spans="1:34" s="1" customFormat="1" ht="24" customHeight="1" x14ac:dyDescent="0.25">
      <c r="A158" s="420"/>
      <c r="B158" s="423"/>
      <c r="C158" s="426"/>
      <c r="D158" s="407"/>
      <c r="E158" s="307">
        <v>44286</v>
      </c>
      <c r="F158" s="371"/>
      <c r="G158" s="371"/>
      <c r="H158" s="371"/>
      <c r="I158" s="371"/>
      <c r="J158" s="365"/>
      <c r="K158" s="434"/>
      <c r="L158" s="392"/>
      <c r="M158" s="392"/>
      <c r="N158" s="173"/>
      <c r="O158" s="284"/>
      <c r="P158" s="318"/>
      <c r="Q158" s="142"/>
      <c r="R158" s="142"/>
      <c r="S158" s="318"/>
      <c r="T158" s="173"/>
      <c r="U158" s="223"/>
      <c r="V158" s="341"/>
      <c r="W158" s="142"/>
      <c r="X158" s="136"/>
      <c r="Y158" s="136"/>
      <c r="Z158" s="173"/>
      <c r="AA158" s="75"/>
      <c r="AB158" s="142"/>
      <c r="AC158" s="75"/>
      <c r="AD158" s="75"/>
      <c r="AE158" s="75"/>
      <c r="AF158" s="75">
        <f ca="1">ЦветЯчейки</f>
        <v>0</v>
      </c>
      <c r="AG158" s="5"/>
      <c r="AH158" s="5"/>
    </row>
    <row r="159" spans="1:34" s="1" customFormat="1" ht="15" customHeight="1" x14ac:dyDescent="0.25">
      <c r="A159" s="349">
        <v>153</v>
      </c>
      <c r="B159" s="421" t="s">
        <v>659</v>
      </c>
      <c r="C159" s="424" t="s">
        <v>1035</v>
      </c>
      <c r="D159" s="405" t="s">
        <v>705</v>
      </c>
      <c r="E159" s="307">
        <v>44286</v>
      </c>
      <c r="F159" s="390" t="s">
        <v>33</v>
      </c>
      <c r="G159" s="369">
        <v>2631018148</v>
      </c>
      <c r="H159" s="369"/>
      <c r="I159" s="360">
        <v>9</v>
      </c>
      <c r="J159" s="363">
        <v>16</v>
      </c>
      <c r="K159" s="432"/>
      <c r="L159" s="390"/>
      <c r="M159" s="429"/>
      <c r="N159" s="173"/>
      <c r="O159" s="284"/>
      <c r="P159" s="142"/>
      <c r="Q159" s="142"/>
      <c r="R159" s="142"/>
      <c r="S159" s="318"/>
      <c r="T159" s="173"/>
      <c r="U159" s="223"/>
      <c r="V159" s="341"/>
      <c r="W159" s="142"/>
      <c r="X159" s="136"/>
      <c r="Y159" s="136"/>
      <c r="Z159" s="173"/>
      <c r="AA159" s="75"/>
      <c r="AB159" s="341"/>
      <c r="AC159" s="143" t="s">
        <v>417</v>
      </c>
      <c r="AD159" s="136"/>
      <c r="AE159" s="335"/>
      <c r="AF159" s="75">
        <f ca="1">ЦветЯчейки</f>
        <v>29</v>
      </c>
      <c r="AG159" s="5"/>
      <c r="AH159" s="5"/>
    </row>
    <row r="160" spans="1:34" s="1" customFormat="1" x14ac:dyDescent="0.25">
      <c r="A160" s="349"/>
      <c r="B160" s="422"/>
      <c r="C160" s="425"/>
      <c r="D160" s="406"/>
      <c r="E160" s="307">
        <v>44286</v>
      </c>
      <c r="F160" s="391"/>
      <c r="G160" s="370"/>
      <c r="H160" s="370"/>
      <c r="I160" s="361"/>
      <c r="J160" s="364"/>
      <c r="K160" s="433"/>
      <c r="L160" s="391"/>
      <c r="M160" s="430"/>
      <c r="N160" s="173"/>
      <c r="O160" s="284"/>
      <c r="P160" s="142"/>
      <c r="Q160" s="142"/>
      <c r="R160" s="142"/>
      <c r="S160" s="318"/>
      <c r="T160" s="173"/>
      <c r="U160" s="223"/>
      <c r="V160" s="341"/>
      <c r="W160" s="142"/>
      <c r="X160" s="136"/>
      <c r="Y160" s="136"/>
      <c r="Z160" s="173"/>
      <c r="AA160" s="75"/>
      <c r="AB160" s="142"/>
      <c r="AC160" s="75"/>
      <c r="AD160" s="75"/>
      <c r="AE160" s="75"/>
      <c r="AF160" s="75">
        <f ca="1">ЦветЯчейки</f>
        <v>0</v>
      </c>
      <c r="AG160" s="5"/>
      <c r="AH160" s="5"/>
    </row>
    <row r="161" spans="1:34" s="1" customFormat="1" x14ac:dyDescent="0.25">
      <c r="A161" s="349"/>
      <c r="B161" s="423"/>
      <c r="C161" s="426"/>
      <c r="D161" s="407"/>
      <c r="E161" s="307">
        <v>44286</v>
      </c>
      <c r="F161" s="392"/>
      <c r="G161" s="371"/>
      <c r="H161" s="371"/>
      <c r="I161" s="362"/>
      <c r="J161" s="365"/>
      <c r="K161" s="434"/>
      <c r="L161" s="392"/>
      <c r="M161" s="431"/>
      <c r="N161" s="173"/>
      <c r="O161" s="284"/>
      <c r="P161" s="318"/>
      <c r="Q161" s="142"/>
      <c r="R161" s="142"/>
      <c r="S161" s="318"/>
      <c r="T161" s="173"/>
      <c r="U161" s="223"/>
      <c r="V161" s="341"/>
      <c r="W161" s="142"/>
      <c r="X161" s="136"/>
      <c r="Y161" s="136"/>
      <c r="Z161" s="173"/>
      <c r="AA161" s="75"/>
      <c r="AB161" s="142"/>
      <c r="AC161" s="248"/>
      <c r="AD161" s="75"/>
      <c r="AE161" s="75"/>
      <c r="AF161" s="75">
        <f ca="1">ЦветЯчейки</f>
        <v>0</v>
      </c>
      <c r="AG161" s="75"/>
      <c r="AH161" s="75"/>
    </row>
    <row r="162" spans="1:34" s="1" customFormat="1" ht="15" customHeight="1" x14ac:dyDescent="0.25">
      <c r="A162" s="349">
        <v>154</v>
      </c>
      <c r="B162" s="402" t="s">
        <v>251</v>
      </c>
      <c r="C162" s="402" t="s">
        <v>1036</v>
      </c>
      <c r="D162" s="405"/>
      <c r="E162" s="314"/>
      <c r="F162" s="369"/>
      <c r="G162" s="369">
        <v>2617009102</v>
      </c>
      <c r="H162" s="393" t="s">
        <v>520</v>
      </c>
      <c r="I162" s="396"/>
      <c r="J162" s="399">
        <v>14</v>
      </c>
      <c r="K162" s="177"/>
      <c r="L162" s="145"/>
      <c r="M162" s="142"/>
      <c r="N162" s="173"/>
      <c r="O162" s="284"/>
      <c r="P162" s="142"/>
      <c r="Q162" s="142"/>
      <c r="R162" s="142"/>
      <c r="S162" s="318"/>
      <c r="T162" s="173"/>
      <c r="U162" s="223"/>
      <c r="V162" s="341"/>
      <c r="W162" s="142"/>
      <c r="X162" s="136"/>
      <c r="Y162" s="136"/>
      <c r="Z162" s="173"/>
      <c r="AA162" s="223"/>
      <c r="AB162" s="341"/>
      <c r="AC162" s="143" t="s">
        <v>417</v>
      </c>
      <c r="AD162" s="245">
        <v>1056</v>
      </c>
      <c r="AE162" s="245">
        <v>3600</v>
      </c>
      <c r="AF162" s="75">
        <f ca="1">ЦветЯчейки</f>
        <v>3</v>
      </c>
      <c r="AG162" s="5"/>
      <c r="AH162" s="5"/>
    </row>
    <row r="163" spans="1:34" s="1" customFormat="1" x14ac:dyDescent="0.25">
      <c r="A163" s="349"/>
      <c r="B163" s="403"/>
      <c r="C163" s="403"/>
      <c r="D163" s="406"/>
      <c r="E163" s="314"/>
      <c r="F163" s="370"/>
      <c r="G163" s="370"/>
      <c r="H163" s="394"/>
      <c r="I163" s="397"/>
      <c r="J163" s="400"/>
      <c r="K163" s="177"/>
      <c r="L163" s="145"/>
      <c r="M163" s="142"/>
      <c r="N163" s="173"/>
      <c r="O163" s="284"/>
      <c r="P163" s="142"/>
      <c r="Q163" s="142"/>
      <c r="R163" s="142"/>
      <c r="S163" s="318"/>
      <c r="T163" s="173"/>
      <c r="U163" s="223"/>
      <c r="V163" s="142"/>
      <c r="W163" s="142"/>
      <c r="X163" s="142"/>
      <c r="Y163" s="142"/>
      <c r="Z163" s="173"/>
      <c r="AA163" s="75"/>
      <c r="AB163" s="142"/>
      <c r="AC163" s="142"/>
      <c r="AD163" s="136"/>
      <c r="AE163" s="173"/>
      <c r="AF163" s="75">
        <f ca="1">ЦветЯчейки</f>
        <v>0</v>
      </c>
      <c r="AG163" s="5"/>
      <c r="AH163" s="5"/>
    </row>
    <row r="164" spans="1:34" s="1" customFormat="1" ht="56.25" customHeight="1" x14ac:dyDescent="0.25">
      <c r="A164" s="349"/>
      <c r="B164" s="404"/>
      <c r="C164" s="404"/>
      <c r="D164" s="407"/>
      <c r="E164" s="314"/>
      <c r="F164" s="371"/>
      <c r="G164" s="371"/>
      <c r="H164" s="395"/>
      <c r="I164" s="398"/>
      <c r="J164" s="401"/>
      <c r="K164" s="177"/>
      <c r="L164" s="142"/>
      <c r="M164" s="136"/>
      <c r="N164" s="173"/>
      <c r="O164" s="284"/>
      <c r="P164" s="320"/>
      <c r="Q164" s="142"/>
      <c r="R164" s="142"/>
      <c r="S164" s="318"/>
      <c r="T164" s="173"/>
      <c r="U164" s="223"/>
      <c r="V164" s="341"/>
      <c r="W164" s="142"/>
      <c r="X164" s="136"/>
      <c r="Y164" s="136"/>
      <c r="Z164" s="173"/>
      <c r="AA164" s="75"/>
      <c r="AB164" s="142"/>
      <c r="AC164" s="75"/>
      <c r="AD164" s="75"/>
      <c r="AE164" s="75"/>
      <c r="AF164" s="75">
        <f ca="1">ЦветЯчейки</f>
        <v>0</v>
      </c>
      <c r="AG164" s="5"/>
      <c r="AH164" s="5"/>
    </row>
    <row r="165" spans="1:34" x14ac:dyDescent="0.25">
      <c r="A165" s="185"/>
      <c r="B165" s="165"/>
      <c r="C165" s="3"/>
      <c r="D165" s="165"/>
      <c r="E165" s="302"/>
      <c r="F165" s="3"/>
      <c r="G165" s="3"/>
      <c r="H165" s="3"/>
      <c r="I165" s="3"/>
      <c r="J165" s="186"/>
      <c r="K165" s="181"/>
      <c r="L165" s="3"/>
      <c r="M165" s="3"/>
      <c r="N165" s="174"/>
      <c r="O165" s="284">
        <f t="shared" ref="O165:O167" ca="1" si="2">ЦветЯчейки</f>
        <v>0</v>
      </c>
      <c r="P165" s="3"/>
      <c r="Q165" s="3"/>
      <c r="R165" s="3"/>
      <c r="S165" s="321"/>
      <c r="T165" s="3"/>
      <c r="U165" s="223">
        <f t="shared" ref="U165:U167" ca="1" si="3">ЦветЯчейки</f>
        <v>0</v>
      </c>
      <c r="V165" s="3"/>
      <c r="W165" s="3"/>
      <c r="X165" s="3"/>
      <c r="Y165" s="3"/>
      <c r="Z165" s="3"/>
      <c r="AA165" s="75">
        <f t="shared" ref="AA165:AA167" ca="1" si="4">ЦветЯчейки</f>
        <v>0</v>
      </c>
      <c r="AB165" s="3"/>
      <c r="AC165" s="3"/>
      <c r="AD165" s="3"/>
      <c r="AE165" s="3"/>
      <c r="AF165" s="75">
        <f ca="1">ЦветЯчейки</f>
        <v>0</v>
      </c>
      <c r="AG165" s="3"/>
      <c r="AH165" s="3"/>
    </row>
    <row r="166" spans="1:34" x14ac:dyDescent="0.25">
      <c r="A166" s="185"/>
      <c r="B166" s="165"/>
      <c r="C166" s="3"/>
      <c r="D166" s="165"/>
      <c r="E166" s="302"/>
      <c r="F166" s="3"/>
      <c r="G166" s="3"/>
      <c r="H166" s="3"/>
      <c r="I166" s="3"/>
      <c r="J166" s="186"/>
      <c r="K166" s="181"/>
      <c r="L166" s="3"/>
      <c r="M166" s="3"/>
      <c r="N166" s="174"/>
      <c r="O166" s="284">
        <f t="shared" ca="1" si="2"/>
        <v>0</v>
      </c>
      <c r="P166" s="3"/>
      <c r="Q166" s="3"/>
      <c r="R166" s="3"/>
      <c r="S166" s="321"/>
      <c r="T166" s="3"/>
      <c r="U166" s="223">
        <f t="shared" ca="1" si="3"/>
        <v>0</v>
      </c>
      <c r="V166" s="3"/>
      <c r="W166" s="3"/>
      <c r="X166" s="3"/>
      <c r="Y166" s="3"/>
      <c r="Z166" s="3"/>
      <c r="AA166" s="75">
        <f t="shared" ca="1" si="4"/>
        <v>0</v>
      </c>
      <c r="AB166" s="3"/>
      <c r="AC166" s="3"/>
      <c r="AD166" s="3"/>
      <c r="AE166" s="3"/>
      <c r="AF166" s="75">
        <f ca="1">ЦветЯчейки</f>
        <v>0</v>
      </c>
      <c r="AG166" s="3"/>
      <c r="AH166" s="3"/>
    </row>
    <row r="167" spans="1:34" ht="15.75" thickBot="1" x14ac:dyDescent="0.3">
      <c r="A167" s="187"/>
      <c r="B167" s="188"/>
      <c r="C167" s="189"/>
      <c r="D167" s="188"/>
      <c r="E167" s="303"/>
      <c r="F167" s="189"/>
      <c r="G167" s="189"/>
      <c r="H167" s="189">
        <f>SUM(H1:H166)</f>
        <v>0</v>
      </c>
      <c r="I167" s="190">
        <f>SUM(I1:I166)</f>
        <v>356</v>
      </c>
      <c r="J167" s="191">
        <f>SUM(J1:J166)</f>
        <v>701</v>
      </c>
      <c r="K167" s="181"/>
      <c r="L167" s="3"/>
      <c r="M167" s="3"/>
      <c r="N167" s="3"/>
      <c r="O167" s="284">
        <f t="shared" ca="1" si="2"/>
        <v>0</v>
      </c>
      <c r="P167" s="3"/>
      <c r="Q167" s="3"/>
      <c r="R167" s="3"/>
      <c r="S167" s="321"/>
      <c r="T167" s="3"/>
      <c r="U167" s="223">
        <f t="shared" ca="1" si="3"/>
        <v>0</v>
      </c>
      <c r="V167" s="3"/>
      <c r="W167" s="3"/>
      <c r="X167" s="3"/>
      <c r="Y167" s="3"/>
      <c r="Z167" s="3"/>
      <c r="AA167" s="75">
        <f t="shared" ca="1" si="4"/>
        <v>0</v>
      </c>
      <c r="AB167" s="3"/>
      <c r="AC167" s="3"/>
      <c r="AD167" s="3"/>
      <c r="AE167" s="3"/>
      <c r="AF167" s="75">
        <f ca="1">ЦветЯчейки</f>
        <v>0</v>
      </c>
      <c r="AG167" s="3"/>
      <c r="AH167" s="3"/>
    </row>
    <row r="168" spans="1:34" x14ac:dyDescent="0.25">
      <c r="K168" s="243"/>
      <c r="L168" s="243"/>
      <c r="M168" s="243"/>
      <c r="N168" s="242"/>
      <c r="O168" s="242"/>
      <c r="P168" s="243"/>
      <c r="Q168" s="242"/>
      <c r="R168" s="243"/>
      <c r="S168" s="322"/>
      <c r="T168" s="242"/>
      <c r="U168" s="242"/>
      <c r="V168" s="243"/>
      <c r="W168" s="243"/>
      <c r="X168" s="243"/>
      <c r="Y168" s="243"/>
      <c r="Z168" s="242"/>
      <c r="AA168" s="242"/>
      <c r="AB168" s="243"/>
      <c r="AC168" s="243"/>
      <c r="AD168" s="243"/>
      <c r="AE168" s="243"/>
      <c r="AF168" s="243"/>
    </row>
    <row r="169" spans="1:34" x14ac:dyDescent="0.25">
      <c r="J169" s="82"/>
      <c r="K169" s="243"/>
      <c r="L169" s="243"/>
      <c r="M169" s="243"/>
      <c r="N169" s="242"/>
      <c r="O169" s="242"/>
      <c r="P169" s="243"/>
      <c r="Q169" s="243"/>
      <c r="R169" s="243"/>
      <c r="S169" s="322"/>
      <c r="T169" s="242"/>
      <c r="U169" s="242"/>
      <c r="V169" s="243"/>
      <c r="W169" s="243"/>
      <c r="X169" s="243"/>
      <c r="Y169" s="243"/>
      <c r="Z169" s="242"/>
      <c r="AA169" s="242"/>
      <c r="AB169" s="243"/>
      <c r="AC169" s="243"/>
      <c r="AD169" s="243"/>
      <c r="AE169" s="242"/>
      <c r="AF169" s="242"/>
    </row>
    <row r="170" spans="1:34" x14ac:dyDescent="0.25">
      <c r="A170" s="9"/>
      <c r="B170" s="166" t="s">
        <v>55</v>
      </c>
      <c r="K170" s="243"/>
      <c r="L170" s="243"/>
      <c r="M170" s="243"/>
      <c r="N170" s="242"/>
      <c r="O170" s="242"/>
      <c r="P170" s="243"/>
      <c r="Q170" s="243"/>
      <c r="R170" s="243"/>
      <c r="S170" s="322"/>
      <c r="T170" s="242"/>
      <c r="U170" s="242"/>
      <c r="V170" s="243"/>
      <c r="W170" s="243"/>
      <c r="X170" s="243"/>
      <c r="Y170" s="243"/>
      <c r="Z170" s="243"/>
      <c r="AA170" s="243"/>
      <c r="AB170" s="243"/>
      <c r="AC170" s="243"/>
      <c r="AD170" s="243"/>
      <c r="AE170" s="243"/>
      <c r="AF170" s="243"/>
    </row>
    <row r="171" spans="1:34" x14ac:dyDescent="0.25">
      <c r="A171" s="7"/>
      <c r="B171" s="166" t="s">
        <v>56</v>
      </c>
      <c r="F171" s="203">
        <f ca="1">N173+T173+Z173</f>
        <v>0</v>
      </c>
      <c r="H171" t="s">
        <v>695</v>
      </c>
      <c r="J171" s="198">
        <v>38100</v>
      </c>
      <c r="K171" s="243"/>
      <c r="L171" s="243"/>
      <c r="M171" s="243"/>
      <c r="N171" s="242"/>
      <c r="O171" s="242"/>
      <c r="P171" s="243"/>
      <c r="Q171" s="243"/>
      <c r="R171" s="243"/>
      <c r="S171" s="322"/>
      <c r="T171" s="242"/>
      <c r="U171" s="242"/>
      <c r="V171" s="243"/>
      <c r="W171" s="243"/>
      <c r="X171" s="243"/>
      <c r="Y171" s="243"/>
      <c r="Z171" s="243"/>
      <c r="AA171" s="243"/>
      <c r="AB171" s="243"/>
      <c r="AC171" s="243"/>
      <c r="AD171" s="243"/>
      <c r="AE171" s="243"/>
      <c r="AF171" s="243"/>
    </row>
    <row r="172" spans="1:34" x14ac:dyDescent="0.25">
      <c r="A172" s="197"/>
      <c r="B172" s="166" t="s">
        <v>508</v>
      </c>
      <c r="I172" s="237"/>
      <c r="K172" s="243"/>
      <c r="L172" s="243"/>
      <c r="M172" s="243"/>
      <c r="N172" s="251">
        <f ca="1">SUMIF(O3:O167,22,N3:N167)</f>
        <v>0</v>
      </c>
      <c r="O172" s="243"/>
      <c r="P172" s="243"/>
      <c r="Q172" s="243"/>
      <c r="R172" s="243"/>
      <c r="S172" s="322"/>
      <c r="T172" s="251">
        <f ca="1">SUMIF(U3:U167,22,T3:T167)</f>
        <v>0</v>
      </c>
      <c r="U172" s="243"/>
      <c r="V172" s="243"/>
      <c r="W172" s="243"/>
      <c r="X172" s="243"/>
      <c r="Y172" s="243"/>
      <c r="Z172" s="251">
        <f ca="1">SUMIF(AA3:AA167,22,Z3:Z167)</f>
        <v>0</v>
      </c>
      <c r="AA172" s="243"/>
      <c r="AB172" s="243"/>
      <c r="AC172" s="243"/>
      <c r="AD172" s="243"/>
      <c r="AE172" s="251">
        <f ca="1">SUMIF(AF3:AF167,22,AE3:AE167)</f>
        <v>0</v>
      </c>
      <c r="AF172" s="243"/>
    </row>
    <row r="173" spans="1:34" x14ac:dyDescent="0.25">
      <c r="A173" s="219"/>
      <c r="B173" s="166" t="s">
        <v>704</v>
      </c>
      <c r="H173" t="s">
        <v>696</v>
      </c>
      <c r="J173" s="198">
        <v>546550</v>
      </c>
      <c r="K173" s="243"/>
      <c r="L173" s="243"/>
      <c r="M173" s="249"/>
      <c r="N173" s="224">
        <f ca="1">SUMIF(O3:O167,3,N3:N167)</f>
        <v>0</v>
      </c>
      <c r="O173" s="242"/>
      <c r="P173" s="243"/>
      <c r="Q173" s="243"/>
      <c r="R173" s="243"/>
      <c r="S173" s="322"/>
      <c r="T173" s="224">
        <f ca="1">SUMIF(U3:U167,3,T3:T167)</f>
        <v>0</v>
      </c>
      <c r="U173" s="224"/>
      <c r="V173" s="243"/>
      <c r="W173" s="243"/>
      <c r="X173" s="243"/>
      <c r="Y173" s="243"/>
      <c r="Z173" s="224">
        <f ca="1">SUMIF(AA3:AA167,3,Z3:Z167)</f>
        <v>0</v>
      </c>
      <c r="AA173" s="243"/>
      <c r="AB173" s="243"/>
      <c r="AD173" s="243"/>
      <c r="AE173" s="224">
        <f ca="1">SUMIF(AF3:AF167,3,AE3:AE167)</f>
        <v>7350</v>
      </c>
    </row>
    <row r="174" spans="1:34" x14ac:dyDescent="0.25">
      <c r="I174" s="82"/>
      <c r="K174" s="243"/>
      <c r="L174" s="243"/>
      <c r="M174" s="243"/>
      <c r="N174" s="198">
        <f ca="1">SUMIF(O3:O167,43,N3:N167)</f>
        <v>0</v>
      </c>
      <c r="O174" s="243"/>
      <c r="P174" s="243"/>
      <c r="Q174" s="243"/>
      <c r="R174" s="243"/>
      <c r="S174" s="322"/>
      <c r="T174" s="198">
        <f ca="1">SUMIF(U3:U167,43,T3:T167)</f>
        <v>0</v>
      </c>
      <c r="U174" s="198"/>
      <c r="V174" s="243"/>
      <c r="W174" s="243"/>
      <c r="X174" s="243"/>
      <c r="Y174" s="243"/>
      <c r="Z174" s="198">
        <f ca="1">SUMIF(AA3:AA167,43,Z3:Z167)</f>
        <v>0</v>
      </c>
      <c r="AA174" s="243"/>
      <c r="AB174" s="243"/>
      <c r="AD174" s="243"/>
      <c r="AE174" s="198">
        <f>SUMIF(AG3:AG167,43,AF3:AF167)</f>
        <v>0</v>
      </c>
    </row>
    <row r="175" spans="1:34" x14ac:dyDescent="0.25">
      <c r="H175" s="329" t="s">
        <v>748</v>
      </c>
      <c r="I175" s="330" t="s">
        <v>826</v>
      </c>
      <c r="J175" s="331">
        <f>N171+T171-J173-J171</f>
        <v>-584650</v>
      </c>
      <c r="K175" s="243"/>
      <c r="L175" s="243"/>
      <c r="M175" s="243"/>
      <c r="N175" s="243"/>
      <c r="O175" s="243"/>
      <c r="P175" s="243"/>
      <c r="Q175" s="243"/>
      <c r="R175" s="243"/>
      <c r="S175" s="322"/>
      <c r="T175" s="243"/>
      <c r="U175" s="243"/>
      <c r="V175" s="243"/>
      <c r="W175" s="243"/>
      <c r="X175" s="243"/>
      <c r="Y175" s="243"/>
      <c r="Z175" s="243"/>
      <c r="AA175" s="243"/>
      <c r="AB175" s="243"/>
      <c r="AD175" s="243"/>
      <c r="AE175" s="243"/>
    </row>
    <row r="176" spans="1:34" x14ac:dyDescent="0.25">
      <c r="I176" s="287"/>
      <c r="K176" s="243"/>
      <c r="L176" s="243"/>
      <c r="M176" s="249"/>
      <c r="N176" s="285" t="s">
        <v>825</v>
      </c>
      <c r="O176" s="286"/>
      <c r="P176" s="285"/>
      <c r="Q176" s="243"/>
      <c r="R176" s="249"/>
      <c r="S176" s="322"/>
      <c r="T176" s="285" t="s">
        <v>825</v>
      </c>
      <c r="U176" s="286"/>
      <c r="V176" s="285"/>
      <c r="W176" s="243"/>
      <c r="X176" s="243"/>
      <c r="Y176" s="243"/>
      <c r="Z176" s="285" t="s">
        <v>825</v>
      </c>
      <c r="AA176" s="285"/>
      <c r="AB176" s="285"/>
      <c r="AD176" s="243"/>
      <c r="AE176" s="285" t="s">
        <v>825</v>
      </c>
      <c r="AF176" s="285"/>
      <c r="AG176" s="285"/>
      <c r="AH176" s="285"/>
    </row>
    <row r="177" spans="8:32" x14ac:dyDescent="0.25">
      <c r="H177" t="s">
        <v>748</v>
      </c>
      <c r="I177" s="287" t="s">
        <v>827</v>
      </c>
      <c r="J177" s="198">
        <v>848519</v>
      </c>
      <c r="K177" s="243"/>
      <c r="L177" s="243"/>
      <c r="M177" s="243"/>
      <c r="N177" s="243"/>
      <c r="O177" s="243"/>
      <c r="P177" s="243"/>
      <c r="Q177" s="243"/>
      <c r="R177" s="243"/>
      <c r="S177" s="322"/>
      <c r="T177" s="243"/>
      <c r="U177" s="243"/>
      <c r="V177" s="243"/>
      <c r="W177" s="243"/>
      <c r="X177" s="243"/>
      <c r="Y177" s="243"/>
      <c r="Z177" s="243"/>
      <c r="AA177" s="243"/>
      <c r="AB177" s="243"/>
      <c r="AC177" s="243"/>
      <c r="AD177" s="243"/>
      <c r="AE177" s="243"/>
      <c r="AF177" s="243"/>
    </row>
    <row r="178" spans="8:32" x14ac:dyDescent="0.25">
      <c r="K178" s="243"/>
      <c r="L178" s="243"/>
      <c r="M178" s="249"/>
      <c r="N178" s="242"/>
      <c r="O178" s="242"/>
      <c r="P178" s="243"/>
      <c r="Q178" s="243"/>
      <c r="R178" s="243"/>
      <c r="S178" s="322"/>
      <c r="T178" s="242"/>
      <c r="U178" s="242"/>
      <c r="V178" s="243"/>
      <c r="W178" s="243"/>
      <c r="X178" s="243"/>
      <c r="Y178" s="243"/>
      <c r="Z178" s="243"/>
      <c r="AA178" s="243"/>
      <c r="AB178" s="243"/>
      <c r="AC178" s="243"/>
      <c r="AD178" s="243"/>
      <c r="AE178" s="243"/>
      <c r="AF178" s="243"/>
    </row>
    <row r="179" spans="8:32" x14ac:dyDescent="0.25">
      <c r="H179" t="s">
        <v>1120</v>
      </c>
      <c r="J179" s="198">
        <f ca="1">N174+T174+Z174-J171-J173-J177</f>
        <v>-1433169</v>
      </c>
      <c r="K179" s="243"/>
      <c r="L179" s="243"/>
      <c r="M179" s="243"/>
      <c r="N179" s="243"/>
      <c r="O179" s="243"/>
      <c r="P179" s="243"/>
      <c r="Q179" s="243"/>
      <c r="R179" s="243"/>
      <c r="S179" s="322"/>
      <c r="T179" s="243"/>
      <c r="U179" s="243"/>
      <c r="V179" s="243"/>
      <c r="W179" s="243"/>
      <c r="X179" s="243"/>
      <c r="Y179" s="243"/>
      <c r="Z179" s="243"/>
      <c r="AA179" s="243"/>
      <c r="AB179" s="243"/>
      <c r="AC179" s="243"/>
      <c r="AD179" s="243"/>
      <c r="AE179" s="243"/>
      <c r="AF179" s="243"/>
    </row>
    <row r="180" spans="8:32" x14ac:dyDescent="0.25">
      <c r="K180" s="243"/>
      <c r="L180" s="243"/>
      <c r="M180" s="243"/>
      <c r="N180" s="243"/>
      <c r="O180" s="243"/>
      <c r="P180" s="243"/>
      <c r="Q180" s="243"/>
      <c r="R180" s="243"/>
      <c r="S180" s="322"/>
      <c r="T180" s="243"/>
      <c r="U180" s="243"/>
      <c r="V180" s="243"/>
      <c r="W180" s="243"/>
      <c r="X180" s="243"/>
      <c r="Y180" s="243"/>
      <c r="Z180" s="243"/>
      <c r="AA180" s="243"/>
      <c r="AB180" s="243"/>
      <c r="AC180" s="243"/>
      <c r="AD180" s="243"/>
      <c r="AE180" s="243"/>
      <c r="AF180" s="243"/>
    </row>
    <row r="181" spans="8:32" x14ac:dyDescent="0.25">
      <c r="K181" s="243"/>
      <c r="L181" s="243"/>
      <c r="M181" s="243"/>
      <c r="N181" s="242"/>
      <c r="O181" s="242"/>
      <c r="P181" s="243"/>
      <c r="Q181" s="243"/>
      <c r="R181" s="243"/>
      <c r="S181" s="322"/>
      <c r="T181" s="242"/>
      <c r="U181" s="242"/>
      <c r="V181" s="243"/>
      <c r="W181" s="243"/>
      <c r="X181" s="243"/>
      <c r="Y181" s="243"/>
      <c r="Z181" s="242"/>
      <c r="AA181" s="242"/>
      <c r="AB181" s="243"/>
      <c r="AC181" s="242"/>
      <c r="AD181" s="243"/>
      <c r="AE181" s="243"/>
      <c r="AF181" s="243"/>
    </row>
    <row r="182" spans="8:32" x14ac:dyDescent="0.25">
      <c r="J182" s="242"/>
      <c r="K182" s="243"/>
      <c r="L182" s="243"/>
      <c r="M182" s="243"/>
      <c r="N182" s="243"/>
      <c r="O182" s="243"/>
      <c r="P182" s="243"/>
      <c r="Q182" s="243"/>
      <c r="R182" s="243"/>
      <c r="S182" s="322"/>
      <c r="T182" s="243"/>
      <c r="U182" s="243"/>
      <c r="V182" s="243"/>
      <c r="W182" s="243"/>
      <c r="X182" s="243"/>
      <c r="Y182" s="243"/>
      <c r="Z182" s="243"/>
      <c r="AA182" s="243"/>
      <c r="AB182" s="243"/>
      <c r="AC182" s="243"/>
      <c r="AD182" s="243"/>
      <c r="AE182" s="243"/>
      <c r="AF182" s="243"/>
    </row>
    <row r="183" spans="8:32" x14ac:dyDescent="0.25">
      <c r="K183" s="243"/>
      <c r="L183" s="243"/>
      <c r="M183" s="243"/>
      <c r="N183" s="243"/>
      <c r="O183" s="243"/>
      <c r="P183" s="243"/>
      <c r="Q183" s="243"/>
      <c r="R183" s="243"/>
      <c r="S183" s="322"/>
      <c r="T183" s="243"/>
      <c r="U183" s="243"/>
      <c r="V183" s="243"/>
      <c r="W183" s="243"/>
      <c r="X183" s="243"/>
      <c r="Y183" s="243"/>
      <c r="Z183" s="243"/>
      <c r="AA183" s="243"/>
      <c r="AB183" s="243"/>
      <c r="AC183" s="243"/>
      <c r="AD183" s="243"/>
      <c r="AE183" s="243"/>
      <c r="AF183" s="243"/>
    </row>
  </sheetData>
  <mergeCells count="47">
    <mergeCell ref="H162:H164"/>
    <mergeCell ref="I162:I164"/>
    <mergeCell ref="J162:J164"/>
    <mergeCell ref="A162:A164"/>
    <mergeCell ref="B162:B164"/>
    <mergeCell ref="C162:C164"/>
    <mergeCell ref="D162:D164"/>
    <mergeCell ref="F162:F164"/>
    <mergeCell ref="G162:G164"/>
    <mergeCell ref="H159:H161"/>
    <mergeCell ref="I159:I161"/>
    <mergeCell ref="J159:J161"/>
    <mergeCell ref="K159:K161"/>
    <mergeCell ref="L159:L161"/>
    <mergeCell ref="M159:M161"/>
    <mergeCell ref="J156:J158"/>
    <mergeCell ref="K156:K158"/>
    <mergeCell ref="L156:L158"/>
    <mergeCell ref="M156:M158"/>
    <mergeCell ref="A159:A161"/>
    <mergeCell ref="B159:B161"/>
    <mergeCell ref="C159:C161"/>
    <mergeCell ref="D159:D161"/>
    <mergeCell ref="F159:F161"/>
    <mergeCell ref="G159:G161"/>
    <mergeCell ref="V1:Z1"/>
    <mergeCell ref="AB1:AE1"/>
    <mergeCell ref="A156:A158"/>
    <mergeCell ref="B156:B158"/>
    <mergeCell ref="C156:C158"/>
    <mergeCell ref="D156:D158"/>
    <mergeCell ref="F156:F158"/>
    <mergeCell ref="G156:G158"/>
    <mergeCell ref="H156:H158"/>
    <mergeCell ref="I156:I158"/>
    <mergeCell ref="G1:G2"/>
    <mergeCell ref="H1:H2"/>
    <mergeCell ref="I1:I2"/>
    <mergeCell ref="J1:J2"/>
    <mergeCell ref="K1:N1"/>
    <mergeCell ref="P1:T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  <pageSetup paperSize="9" scale="78" orientation="landscape" horizontalDpi="300" verticalDpi="300" r:id="rId1"/>
  <colBreaks count="1" manualBreakCount="1">
    <brk id="7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8"/>
  <sheetViews>
    <sheetView workbookViewId="0">
      <pane ySplit="1" topLeftCell="A44" activePane="bottomLeft" state="frozen"/>
      <selection activeCell="B1" sqref="B1"/>
      <selection pane="bottomLeft" activeCell="H44" sqref="H44"/>
    </sheetView>
  </sheetViews>
  <sheetFormatPr defaultRowHeight="15" x14ac:dyDescent="0.25"/>
  <cols>
    <col min="2" max="2" width="43.140625" customWidth="1"/>
    <col min="3" max="3" width="41.5703125" customWidth="1"/>
    <col min="4" max="4" width="25.7109375" customWidth="1"/>
    <col min="5" max="5" width="17.85546875" customWidth="1"/>
    <col min="6" max="6" width="15.85546875" customWidth="1"/>
    <col min="7" max="7" width="8.28515625" customWidth="1"/>
    <col min="8" max="8" width="8.42578125" customWidth="1"/>
  </cols>
  <sheetData>
    <row r="1" spans="1:23" x14ac:dyDescent="0.25">
      <c r="C1" s="23"/>
      <c r="G1" t="s">
        <v>119</v>
      </c>
      <c r="H1" s="59" t="s">
        <v>120</v>
      </c>
      <c r="I1" t="s">
        <v>37</v>
      </c>
      <c r="J1" s="2">
        <v>43101</v>
      </c>
      <c r="K1" s="2">
        <v>43132</v>
      </c>
      <c r="L1" s="2">
        <v>43160</v>
      </c>
      <c r="M1" s="2">
        <v>43191</v>
      </c>
      <c r="N1" s="2">
        <v>43221</v>
      </c>
      <c r="O1" s="2">
        <v>43252</v>
      </c>
      <c r="P1" s="2">
        <v>43282</v>
      </c>
      <c r="Q1" s="2">
        <v>43313</v>
      </c>
      <c r="R1" s="2">
        <v>43344</v>
      </c>
      <c r="S1" s="2">
        <v>43374</v>
      </c>
      <c r="T1" s="2">
        <v>43405</v>
      </c>
      <c r="U1" s="2">
        <v>43435</v>
      </c>
      <c r="V1" s="2">
        <v>43466</v>
      </c>
      <c r="W1" s="2">
        <v>43497</v>
      </c>
    </row>
    <row r="2" spans="1:23" x14ac:dyDescent="0.25">
      <c r="A2">
        <v>1</v>
      </c>
      <c r="B2" s="4" t="s">
        <v>29</v>
      </c>
      <c r="C2" s="4"/>
      <c r="D2" s="3"/>
      <c r="E2" s="4" t="s">
        <v>31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25">
      <c r="A3">
        <v>2</v>
      </c>
      <c r="B3" s="4" t="s">
        <v>30</v>
      </c>
      <c r="C3" s="4"/>
      <c r="D3" s="3"/>
      <c r="E3" s="4" t="s">
        <v>31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>
        <v>3</v>
      </c>
      <c r="B4" s="4" t="s">
        <v>0</v>
      </c>
      <c r="C4" s="4"/>
      <c r="D4" s="3"/>
      <c r="E4" s="4" t="s">
        <v>32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25">
      <c r="A5">
        <v>4</v>
      </c>
      <c r="B5" s="4" t="s">
        <v>1</v>
      </c>
      <c r="C5" s="4"/>
      <c r="D5" s="3"/>
      <c r="E5" s="4" t="s">
        <v>31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:23" x14ac:dyDescent="0.25">
      <c r="A6">
        <v>5</v>
      </c>
      <c r="B6" s="4" t="s">
        <v>3</v>
      </c>
      <c r="C6" s="4"/>
      <c r="D6" s="3"/>
      <c r="E6" s="4" t="s">
        <v>32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 x14ac:dyDescent="0.25">
      <c r="A7">
        <v>6</v>
      </c>
      <c r="B7" s="4" t="s">
        <v>5</v>
      </c>
      <c r="C7" s="4"/>
      <c r="D7" s="3"/>
      <c r="E7" s="4" t="s">
        <v>31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 x14ac:dyDescent="0.25">
      <c r="A8">
        <v>7</v>
      </c>
      <c r="B8" s="4" t="s">
        <v>4</v>
      </c>
      <c r="C8" s="4"/>
      <c r="D8" s="3"/>
      <c r="E8" s="4" t="s">
        <v>32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 x14ac:dyDescent="0.25">
      <c r="A9">
        <v>8</v>
      </c>
      <c r="B9" s="4" t="s">
        <v>6</v>
      </c>
      <c r="C9" s="4"/>
      <c r="D9" s="3"/>
      <c r="E9" s="4" t="s">
        <v>32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x14ac:dyDescent="0.25">
      <c r="A10">
        <v>9</v>
      </c>
      <c r="B10" s="13" t="s">
        <v>2</v>
      </c>
      <c r="C10" s="13"/>
      <c r="D10" s="3" t="s">
        <v>14</v>
      </c>
      <c r="E10" s="3" t="s">
        <v>33</v>
      </c>
      <c r="F10" s="3"/>
      <c r="G10" s="3"/>
      <c r="H10" s="3">
        <v>1</v>
      </c>
      <c r="I10" s="3"/>
      <c r="J10" s="4"/>
      <c r="K10" s="4"/>
      <c r="L10" s="4"/>
      <c r="M10" s="4">
        <v>44</v>
      </c>
      <c r="N10" s="4">
        <v>44</v>
      </c>
      <c r="O10" s="4">
        <v>44</v>
      </c>
      <c r="P10" s="4">
        <v>67</v>
      </c>
      <c r="Q10" s="4">
        <v>67</v>
      </c>
      <c r="R10" s="4">
        <v>67</v>
      </c>
      <c r="S10" s="3"/>
      <c r="T10" s="3"/>
      <c r="U10" s="3"/>
      <c r="V10" s="3"/>
      <c r="W10" s="3"/>
    </row>
    <row r="11" spans="1:23" ht="60" x14ac:dyDescent="0.25">
      <c r="A11">
        <v>10</v>
      </c>
      <c r="B11" s="29" t="s">
        <v>7</v>
      </c>
      <c r="C11" s="28" t="s">
        <v>86</v>
      </c>
      <c r="D11" s="3"/>
      <c r="E11" s="3" t="s">
        <v>33</v>
      </c>
      <c r="F11" s="3"/>
      <c r="G11" s="3"/>
      <c r="H11" s="3">
        <v>3</v>
      </c>
      <c r="I11" s="3"/>
      <c r="J11" s="4"/>
      <c r="K11" s="4"/>
      <c r="L11" s="4"/>
      <c r="M11" s="4">
        <v>48</v>
      </c>
      <c r="N11" s="4">
        <v>48</v>
      </c>
      <c r="O11" s="4">
        <v>48</v>
      </c>
      <c r="P11" s="4">
        <v>66</v>
      </c>
      <c r="Q11" s="4">
        <v>66</v>
      </c>
      <c r="R11" s="4">
        <v>66</v>
      </c>
      <c r="S11" s="3"/>
      <c r="T11" s="3"/>
      <c r="U11" s="3"/>
      <c r="V11" s="3"/>
      <c r="W11" s="3"/>
    </row>
    <row r="12" spans="1:23" ht="75" x14ac:dyDescent="0.25">
      <c r="A12">
        <v>11</v>
      </c>
      <c r="B12" s="37" t="s">
        <v>8</v>
      </c>
      <c r="C12" s="30" t="s">
        <v>85</v>
      </c>
      <c r="D12" s="3"/>
      <c r="E12" s="3" t="s">
        <v>33</v>
      </c>
      <c r="F12" s="3"/>
      <c r="G12" s="3"/>
      <c r="H12" s="60">
        <v>26</v>
      </c>
      <c r="I12" s="3"/>
      <c r="J12" s="4"/>
      <c r="K12" s="4"/>
      <c r="L12" s="4"/>
      <c r="M12" s="4"/>
      <c r="N12" s="4"/>
      <c r="O12" s="4">
        <v>33</v>
      </c>
      <c r="P12" s="4">
        <v>49</v>
      </c>
      <c r="Q12" s="4">
        <v>52</v>
      </c>
      <c r="R12" s="12">
        <v>58</v>
      </c>
      <c r="S12" s="8">
        <v>73</v>
      </c>
      <c r="T12" s="3"/>
      <c r="U12" s="3"/>
      <c r="V12" s="3"/>
      <c r="W12" s="3"/>
    </row>
    <row r="13" spans="1:23" ht="45" x14ac:dyDescent="0.25">
      <c r="A13">
        <v>12</v>
      </c>
      <c r="B13" s="13" t="s">
        <v>12</v>
      </c>
      <c r="C13" s="28" t="s">
        <v>87</v>
      </c>
      <c r="D13" s="3" t="s">
        <v>11</v>
      </c>
      <c r="E13" s="3" t="s">
        <v>33</v>
      </c>
      <c r="F13" s="3">
        <v>2635221863</v>
      </c>
      <c r="G13" s="3"/>
      <c r="H13" s="3">
        <v>5</v>
      </c>
      <c r="I13" s="3"/>
      <c r="J13" s="4"/>
      <c r="K13" s="4"/>
      <c r="L13" s="4"/>
      <c r="M13" s="4"/>
      <c r="N13" s="4"/>
      <c r="O13" s="4"/>
      <c r="P13" s="4">
        <v>64</v>
      </c>
      <c r="Q13" s="4">
        <v>64</v>
      </c>
      <c r="R13" s="4">
        <v>64</v>
      </c>
      <c r="S13" s="3"/>
      <c r="T13" s="3"/>
      <c r="U13" s="3"/>
      <c r="V13" s="3"/>
      <c r="W13" s="3"/>
    </row>
    <row r="14" spans="1:23" ht="30" x14ac:dyDescent="0.25">
      <c r="A14">
        <v>13</v>
      </c>
      <c r="B14" s="36" t="s">
        <v>50</v>
      </c>
      <c r="C14" s="31" t="s">
        <v>88</v>
      </c>
      <c r="D14" s="3" t="s">
        <v>9</v>
      </c>
      <c r="E14" s="51" t="s">
        <v>31</v>
      </c>
      <c r="F14" s="3"/>
      <c r="G14" s="3"/>
      <c r="H14" s="3"/>
      <c r="I14" s="3"/>
      <c r="J14" s="4"/>
      <c r="K14" s="4"/>
      <c r="L14" s="4"/>
      <c r="M14" s="10"/>
      <c r="N14" s="10"/>
      <c r="O14" s="10"/>
      <c r="P14" s="3"/>
      <c r="Q14" s="3"/>
      <c r="R14" s="3"/>
      <c r="S14" s="3"/>
      <c r="T14" s="3"/>
      <c r="U14" s="3"/>
      <c r="V14" s="3"/>
      <c r="W14" s="3"/>
    </row>
    <row r="15" spans="1:23" ht="45" x14ac:dyDescent="0.25">
      <c r="A15">
        <v>14</v>
      </c>
      <c r="B15" s="35" t="s">
        <v>15</v>
      </c>
      <c r="C15" s="32" t="s">
        <v>89</v>
      </c>
      <c r="D15" s="3" t="s">
        <v>13</v>
      </c>
      <c r="E15" s="3" t="s">
        <v>33</v>
      </c>
      <c r="F15" s="3">
        <v>2635221969</v>
      </c>
      <c r="G15" s="3"/>
      <c r="H15" s="3">
        <v>1</v>
      </c>
      <c r="I15" s="3"/>
      <c r="J15" s="4"/>
      <c r="K15" s="4"/>
      <c r="L15" s="4"/>
      <c r="M15" s="4">
        <v>34</v>
      </c>
      <c r="N15" s="4">
        <v>34</v>
      </c>
      <c r="O15" s="4">
        <v>34</v>
      </c>
      <c r="P15" s="4">
        <v>60</v>
      </c>
      <c r="Q15" s="4">
        <v>60</v>
      </c>
      <c r="R15" s="4">
        <v>60</v>
      </c>
      <c r="S15" s="3"/>
      <c r="T15" s="3"/>
      <c r="U15" s="3"/>
      <c r="V15" s="3"/>
      <c r="W15" s="3"/>
    </row>
    <row r="16" spans="1:23" ht="89.25" customHeight="1" x14ac:dyDescent="0.25">
      <c r="A16">
        <v>15</v>
      </c>
      <c r="B16" s="34" t="s">
        <v>16</v>
      </c>
      <c r="C16" s="33" t="s">
        <v>90</v>
      </c>
      <c r="D16" s="3" t="s">
        <v>17</v>
      </c>
      <c r="E16" s="3" t="s">
        <v>33</v>
      </c>
      <c r="F16" s="3"/>
      <c r="G16" s="3">
        <v>56</v>
      </c>
      <c r="H16" s="3"/>
      <c r="I16" s="3"/>
      <c r="J16" s="4"/>
      <c r="K16" s="4"/>
      <c r="L16" s="4"/>
      <c r="M16" s="4"/>
      <c r="N16" s="4"/>
      <c r="O16" s="4">
        <v>47</v>
      </c>
      <c r="P16" s="4">
        <v>50</v>
      </c>
      <c r="Q16" s="4">
        <v>53</v>
      </c>
      <c r="R16" s="62" t="s">
        <v>82</v>
      </c>
      <c r="S16" s="42">
        <v>76</v>
      </c>
      <c r="T16" s="3"/>
      <c r="U16" s="3"/>
      <c r="V16" s="3"/>
      <c r="W16" s="3"/>
    </row>
    <row r="17" spans="1:23" s="1" customFormat="1" ht="75" x14ac:dyDescent="0.25">
      <c r="A17" s="1">
        <v>16</v>
      </c>
      <c r="B17" s="6" t="s">
        <v>91</v>
      </c>
      <c r="C17" s="38" t="s">
        <v>92</v>
      </c>
      <c r="D17" s="24" t="s">
        <v>18</v>
      </c>
      <c r="E17" s="51" t="s">
        <v>31</v>
      </c>
      <c r="F17" s="5">
        <v>2631017874</v>
      </c>
      <c r="G17" s="5"/>
      <c r="H17" s="5"/>
      <c r="I17" s="5"/>
      <c r="J17" s="6"/>
      <c r="K17" s="6"/>
      <c r="L17" s="6"/>
      <c r="M17" s="6">
        <v>32</v>
      </c>
      <c r="N17" s="6">
        <v>32</v>
      </c>
      <c r="O17" s="6">
        <v>32</v>
      </c>
      <c r="P17" s="5"/>
      <c r="Q17" s="5"/>
      <c r="R17" s="5"/>
      <c r="S17" s="5"/>
      <c r="T17" s="5"/>
      <c r="U17" s="5"/>
      <c r="V17" s="5"/>
      <c r="W17" s="5"/>
    </row>
    <row r="18" spans="1:23" ht="45" x14ac:dyDescent="0.25">
      <c r="A18">
        <v>17</v>
      </c>
      <c r="B18" s="15" t="s">
        <v>19</v>
      </c>
      <c r="C18" s="39" t="s">
        <v>93</v>
      </c>
      <c r="D18" s="24" t="s">
        <v>21</v>
      </c>
      <c r="E18" s="3" t="s">
        <v>33</v>
      </c>
      <c r="F18" s="5">
        <v>2631027142</v>
      </c>
      <c r="G18" s="5"/>
      <c r="H18" s="5">
        <v>1</v>
      </c>
      <c r="I18" s="3"/>
      <c r="J18" s="4"/>
      <c r="K18" s="4"/>
      <c r="L18" s="4"/>
      <c r="M18" s="4">
        <v>45</v>
      </c>
      <c r="N18" s="4">
        <v>45</v>
      </c>
      <c r="O18" s="4">
        <v>45</v>
      </c>
      <c r="P18" s="4">
        <v>69</v>
      </c>
      <c r="Q18" s="4">
        <v>69</v>
      </c>
      <c r="R18" s="4">
        <v>69</v>
      </c>
      <c r="S18" s="3"/>
      <c r="T18" s="3"/>
      <c r="U18" s="3"/>
      <c r="V18" s="3"/>
      <c r="W18" s="3"/>
    </row>
    <row r="19" spans="1:23" ht="75" x14ac:dyDescent="0.25">
      <c r="A19">
        <v>18</v>
      </c>
      <c r="B19" s="6" t="s">
        <v>91</v>
      </c>
      <c r="C19" s="38" t="s">
        <v>92</v>
      </c>
      <c r="D19" s="38" t="s">
        <v>47</v>
      </c>
      <c r="E19" s="51" t="s">
        <v>31</v>
      </c>
      <c r="F19" s="5">
        <v>2631017874</v>
      </c>
      <c r="G19" s="5"/>
      <c r="H19" s="5"/>
      <c r="I19" s="3"/>
      <c r="J19" s="3"/>
      <c r="K19" s="3"/>
      <c r="L19" s="3"/>
      <c r="M19" s="3"/>
      <c r="N19" s="3"/>
      <c r="O19" s="3"/>
      <c r="P19" s="10"/>
      <c r="Q19" s="10"/>
      <c r="R19" s="10"/>
      <c r="S19" s="3"/>
      <c r="T19" s="3"/>
      <c r="U19" s="3"/>
      <c r="V19" s="3"/>
      <c r="W19" s="3"/>
    </row>
    <row r="20" spans="1:23" ht="45" x14ac:dyDescent="0.25">
      <c r="A20">
        <v>19</v>
      </c>
      <c r="B20" s="39" t="s">
        <v>28</v>
      </c>
      <c r="C20" s="39" t="s">
        <v>94</v>
      </c>
      <c r="D20" s="24" t="s">
        <v>20</v>
      </c>
      <c r="E20" s="3" t="s">
        <v>33</v>
      </c>
      <c r="F20" s="5">
        <v>2631027880</v>
      </c>
      <c r="G20" s="5"/>
      <c r="H20" s="5">
        <v>1</v>
      </c>
      <c r="I20" s="3"/>
      <c r="J20" s="4"/>
      <c r="K20" s="4"/>
      <c r="L20" s="4"/>
      <c r="M20" s="4">
        <v>46</v>
      </c>
      <c r="N20" s="4">
        <v>46</v>
      </c>
      <c r="O20" s="4">
        <v>46</v>
      </c>
      <c r="P20" s="4">
        <v>68</v>
      </c>
      <c r="Q20" s="4">
        <v>68</v>
      </c>
      <c r="R20" s="4">
        <v>68</v>
      </c>
      <c r="S20" s="3"/>
      <c r="T20" s="3"/>
      <c r="U20" s="3"/>
      <c r="V20" s="3"/>
      <c r="W20" s="3"/>
    </row>
    <row r="21" spans="1:23" ht="30" x14ac:dyDescent="0.25">
      <c r="A21">
        <v>20</v>
      </c>
      <c r="B21" s="16" t="s">
        <v>22</v>
      </c>
      <c r="C21" s="40"/>
      <c r="D21" s="24" t="s">
        <v>23</v>
      </c>
      <c r="E21" s="51" t="s">
        <v>31</v>
      </c>
      <c r="F21" s="5">
        <v>2633003556</v>
      </c>
      <c r="G21" s="5"/>
      <c r="H21" s="5"/>
      <c r="I21" s="3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45" x14ac:dyDescent="0.25">
      <c r="A22">
        <v>21</v>
      </c>
      <c r="B22" s="15" t="s">
        <v>24</v>
      </c>
      <c r="C22" s="41" t="s">
        <v>95</v>
      </c>
      <c r="D22" s="24" t="s">
        <v>34</v>
      </c>
      <c r="E22" s="3" t="s">
        <v>33</v>
      </c>
      <c r="F22" s="5">
        <v>2631009785</v>
      </c>
      <c r="G22" s="5"/>
      <c r="H22" s="5">
        <v>2</v>
      </c>
      <c r="I22" s="3"/>
      <c r="J22" s="4"/>
      <c r="K22" s="4"/>
      <c r="L22" s="4"/>
      <c r="M22" s="4">
        <v>41</v>
      </c>
      <c r="N22" s="4">
        <v>41</v>
      </c>
      <c r="O22" s="4">
        <v>41</v>
      </c>
      <c r="P22" s="4">
        <v>63</v>
      </c>
      <c r="Q22" s="4">
        <v>63</v>
      </c>
      <c r="R22" s="4">
        <v>63</v>
      </c>
      <c r="S22" s="3"/>
      <c r="T22" s="3"/>
      <c r="U22" s="3"/>
      <c r="V22" s="3"/>
      <c r="W22" s="3"/>
    </row>
    <row r="23" spans="1:23" ht="87.75" customHeight="1" x14ac:dyDescent="0.25">
      <c r="A23">
        <v>22</v>
      </c>
      <c r="B23" s="46" t="s">
        <v>25</v>
      </c>
      <c r="C23" s="17" t="s">
        <v>96</v>
      </c>
      <c r="D23" s="24" t="s">
        <v>26</v>
      </c>
      <c r="E23" s="3" t="s">
        <v>33</v>
      </c>
      <c r="F23" s="5">
        <v>2634069743</v>
      </c>
      <c r="G23" s="5"/>
      <c r="H23" s="5">
        <v>6</v>
      </c>
      <c r="I23" s="3"/>
      <c r="J23" s="4"/>
      <c r="K23" s="4"/>
      <c r="L23" s="4"/>
      <c r="M23" s="4">
        <v>35</v>
      </c>
      <c r="N23" s="4">
        <v>35</v>
      </c>
      <c r="O23" s="4">
        <v>35</v>
      </c>
      <c r="P23" s="4">
        <v>56</v>
      </c>
      <c r="Q23" s="4">
        <v>56</v>
      </c>
      <c r="R23" s="4">
        <v>56</v>
      </c>
      <c r="S23" s="10"/>
      <c r="T23" s="10"/>
      <c r="U23" s="10"/>
      <c r="V23" s="3"/>
      <c r="W23" s="3"/>
    </row>
    <row r="24" spans="1:23" ht="30" x14ac:dyDescent="0.25">
      <c r="A24">
        <v>23</v>
      </c>
      <c r="B24" s="45" t="s">
        <v>10</v>
      </c>
      <c r="C24" s="18"/>
      <c r="D24" s="22" t="s">
        <v>27</v>
      </c>
      <c r="E24" s="51" t="s">
        <v>31</v>
      </c>
      <c r="F24" s="5">
        <v>2635221863</v>
      </c>
      <c r="G24" s="5"/>
      <c r="H24" s="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45" x14ac:dyDescent="0.25">
      <c r="A25">
        <v>24</v>
      </c>
      <c r="B25" s="29" t="s">
        <v>30</v>
      </c>
      <c r="C25" s="44" t="s">
        <v>97</v>
      </c>
      <c r="D25" s="24" t="s">
        <v>64</v>
      </c>
      <c r="E25" s="3" t="s">
        <v>33</v>
      </c>
      <c r="F25" s="5">
        <v>2631017987</v>
      </c>
      <c r="G25" s="5"/>
      <c r="H25" s="5">
        <v>32</v>
      </c>
      <c r="I25" s="3"/>
      <c r="J25" s="4"/>
      <c r="K25" s="4"/>
      <c r="L25" s="4"/>
      <c r="M25" s="4">
        <v>38</v>
      </c>
      <c r="N25" s="4">
        <v>38</v>
      </c>
      <c r="O25" s="4">
        <v>38</v>
      </c>
      <c r="P25" s="4">
        <v>59</v>
      </c>
      <c r="Q25" s="4">
        <v>59</v>
      </c>
      <c r="R25" s="4">
        <v>59</v>
      </c>
      <c r="S25" s="3"/>
      <c r="T25" s="3"/>
      <c r="U25" s="3"/>
      <c r="V25" s="3"/>
      <c r="W25" s="3"/>
    </row>
    <row r="26" spans="1:23" ht="45" x14ac:dyDescent="0.25">
      <c r="A26">
        <v>25</v>
      </c>
      <c r="B26" s="8" t="s">
        <v>35</v>
      </c>
      <c r="C26" s="47" t="s">
        <v>98</v>
      </c>
      <c r="D26" s="25" t="s">
        <v>36</v>
      </c>
      <c r="E26" s="48" t="s">
        <v>33</v>
      </c>
      <c r="F26" s="26">
        <v>2635232671</v>
      </c>
      <c r="G26" s="26"/>
      <c r="H26" s="26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 ht="45" x14ac:dyDescent="0.25">
      <c r="A27">
        <v>26</v>
      </c>
      <c r="B27" s="14" t="s">
        <v>53</v>
      </c>
      <c r="C27" s="32" t="s">
        <v>99</v>
      </c>
      <c r="D27" s="24" t="s">
        <v>38</v>
      </c>
      <c r="E27" s="3" t="s">
        <v>33</v>
      </c>
      <c r="F27" s="5">
        <v>2633001943</v>
      </c>
      <c r="G27" s="5">
        <v>65</v>
      </c>
      <c r="H27" s="5"/>
      <c r="I27" s="3"/>
      <c r="J27" s="3"/>
      <c r="K27" s="3"/>
      <c r="L27" s="3"/>
      <c r="M27" s="4">
        <v>40</v>
      </c>
      <c r="N27" s="4">
        <v>40</v>
      </c>
      <c r="O27" s="4">
        <v>40</v>
      </c>
      <c r="P27" s="4">
        <v>57</v>
      </c>
      <c r="Q27" s="4">
        <v>57</v>
      </c>
      <c r="R27" s="4">
        <v>57</v>
      </c>
      <c r="S27" s="3"/>
      <c r="T27" s="3"/>
      <c r="U27" s="3"/>
      <c r="V27" s="3"/>
      <c r="W27" s="3"/>
    </row>
    <row r="28" spans="1:23" ht="60" x14ac:dyDescent="0.25">
      <c r="A28">
        <v>27</v>
      </c>
      <c r="B28" s="49" t="s">
        <v>42</v>
      </c>
      <c r="C28" s="21" t="s">
        <v>100</v>
      </c>
      <c r="D28" s="24" t="s">
        <v>39</v>
      </c>
      <c r="E28" s="3" t="s">
        <v>33</v>
      </c>
      <c r="F28" s="5">
        <v>9107041038</v>
      </c>
      <c r="G28" s="5"/>
      <c r="H28" s="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30" x14ac:dyDescent="0.25">
      <c r="A29">
        <v>28</v>
      </c>
      <c r="B29" s="4" t="s">
        <v>41</v>
      </c>
      <c r="C29" s="4"/>
      <c r="D29" s="24" t="s">
        <v>40</v>
      </c>
      <c r="E29" s="4" t="s">
        <v>32</v>
      </c>
      <c r="F29" s="5">
        <v>6829089890</v>
      </c>
      <c r="G29" s="5"/>
      <c r="H29" s="5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 ht="30" x14ac:dyDescent="0.25">
      <c r="A30">
        <v>29</v>
      </c>
      <c r="B30" s="14" t="s">
        <v>43</v>
      </c>
      <c r="C30" s="32" t="s">
        <v>101</v>
      </c>
      <c r="D30" s="24" t="s">
        <v>44</v>
      </c>
      <c r="E30" s="3" t="s">
        <v>33</v>
      </c>
      <c r="F30" s="5">
        <v>2635814951</v>
      </c>
      <c r="G30" s="5"/>
      <c r="H30" s="5">
        <v>34</v>
      </c>
      <c r="I30" s="3"/>
      <c r="J30" s="3"/>
      <c r="K30" s="3"/>
      <c r="L30" s="3"/>
      <c r="M30" s="3"/>
      <c r="N30" s="3"/>
      <c r="O30" s="3"/>
      <c r="P30" s="4">
        <v>61</v>
      </c>
      <c r="Q30" s="4">
        <v>61</v>
      </c>
      <c r="R30" s="4">
        <v>61</v>
      </c>
      <c r="S30" s="3"/>
      <c r="T30" s="3"/>
      <c r="U30" s="3"/>
      <c r="V30" s="3"/>
      <c r="W30" s="3"/>
    </row>
    <row r="31" spans="1:23" ht="60" x14ac:dyDescent="0.25">
      <c r="A31">
        <v>30</v>
      </c>
      <c r="B31" s="49" t="s">
        <v>48</v>
      </c>
      <c r="C31" s="50" t="s">
        <v>102</v>
      </c>
      <c r="D31" s="24" t="s">
        <v>45</v>
      </c>
      <c r="E31" s="3" t="s">
        <v>33</v>
      </c>
      <c r="F31" s="5">
        <v>9103001267</v>
      </c>
      <c r="G31" s="5"/>
      <c r="H31" s="5">
        <v>3</v>
      </c>
      <c r="I31" s="3"/>
      <c r="J31" s="3"/>
      <c r="K31" s="3"/>
      <c r="L31" s="3"/>
      <c r="M31" s="4">
        <v>51</v>
      </c>
      <c r="N31" s="4">
        <v>51</v>
      </c>
      <c r="O31" s="4">
        <v>51</v>
      </c>
      <c r="P31" s="8">
        <v>70</v>
      </c>
      <c r="Q31" s="8">
        <v>70</v>
      </c>
      <c r="R31" s="8">
        <v>70</v>
      </c>
      <c r="S31" s="3"/>
      <c r="T31" s="3"/>
      <c r="U31" s="3"/>
      <c r="V31" s="3"/>
      <c r="W31" s="3"/>
    </row>
    <row r="32" spans="1:23" ht="60" x14ac:dyDescent="0.25">
      <c r="A32">
        <v>31</v>
      </c>
      <c r="B32" s="20" t="s">
        <v>54</v>
      </c>
      <c r="C32" s="20" t="s">
        <v>103</v>
      </c>
      <c r="D32" s="24" t="s">
        <v>46</v>
      </c>
      <c r="E32" s="3" t="s">
        <v>33</v>
      </c>
      <c r="F32" s="5">
        <v>9111004455</v>
      </c>
      <c r="G32" s="5"/>
      <c r="H32" s="5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ht="30" x14ac:dyDescent="0.25">
      <c r="A33">
        <v>32</v>
      </c>
      <c r="B33" s="14" t="s">
        <v>49</v>
      </c>
      <c r="C33" s="14"/>
      <c r="D33" s="24" t="s">
        <v>66</v>
      </c>
      <c r="E33" s="3" t="s">
        <v>33</v>
      </c>
      <c r="F33" s="5">
        <v>2633003556</v>
      </c>
      <c r="G33" s="5">
        <v>58</v>
      </c>
      <c r="H33" s="5"/>
      <c r="I33" s="3"/>
      <c r="J33" s="3"/>
      <c r="K33" s="3"/>
      <c r="L33" s="3"/>
      <c r="M33" s="4" t="s">
        <v>52</v>
      </c>
      <c r="N33" s="4" t="s">
        <v>52</v>
      </c>
      <c r="O33" s="4" t="s">
        <v>52</v>
      </c>
      <c r="P33" s="4" t="s">
        <v>65</v>
      </c>
      <c r="Q33" s="4" t="s">
        <v>65</v>
      </c>
      <c r="R33" s="4" t="s">
        <v>65</v>
      </c>
      <c r="S33" s="3"/>
      <c r="T33" s="3"/>
      <c r="U33" s="3"/>
      <c r="V33" s="3"/>
      <c r="W33" s="3"/>
    </row>
    <row r="34" spans="1:23" ht="30" x14ac:dyDescent="0.25">
      <c r="A34">
        <v>33</v>
      </c>
      <c r="B34" s="18" t="s">
        <v>10</v>
      </c>
      <c r="C34" s="18"/>
      <c r="D34" s="22" t="s">
        <v>51</v>
      </c>
      <c r="E34" s="51" t="s">
        <v>31</v>
      </c>
      <c r="F34" s="5">
        <v>2635221863</v>
      </c>
      <c r="G34" s="5"/>
      <c r="H34" s="5"/>
      <c r="I34" s="3"/>
      <c r="J34" s="3"/>
      <c r="K34" s="3"/>
      <c r="L34" s="3"/>
      <c r="M34" s="4">
        <v>39</v>
      </c>
      <c r="N34" s="4">
        <v>39</v>
      </c>
      <c r="O34" s="4">
        <v>39</v>
      </c>
      <c r="P34" s="3"/>
      <c r="Q34" s="3"/>
      <c r="R34" s="3"/>
      <c r="S34" s="3"/>
      <c r="T34" s="3"/>
      <c r="U34" s="3"/>
      <c r="V34" s="3"/>
      <c r="W34" s="3"/>
    </row>
    <row r="35" spans="1:23" ht="75" x14ac:dyDescent="0.25">
      <c r="A35">
        <v>34</v>
      </c>
      <c r="B35" s="39" t="s">
        <v>58</v>
      </c>
      <c r="C35" s="43" t="s">
        <v>92</v>
      </c>
      <c r="D35" s="24" t="s">
        <v>47</v>
      </c>
      <c r="E35" s="4" t="s">
        <v>33</v>
      </c>
      <c r="F35" s="5">
        <v>2631017874</v>
      </c>
      <c r="G35" s="5"/>
      <c r="H35" s="5">
        <v>7</v>
      </c>
      <c r="I35" s="3"/>
      <c r="J35" s="3"/>
      <c r="K35" s="3"/>
      <c r="L35" s="3"/>
      <c r="M35" s="3"/>
      <c r="N35" s="3"/>
      <c r="O35" s="3"/>
      <c r="P35" s="4">
        <v>65</v>
      </c>
      <c r="Q35" s="4">
        <v>65</v>
      </c>
      <c r="R35" s="4">
        <v>65</v>
      </c>
      <c r="S35" s="3"/>
      <c r="T35" s="3"/>
      <c r="U35" s="3"/>
      <c r="V35" s="3"/>
      <c r="W35" s="3"/>
    </row>
    <row r="36" spans="1:23" ht="45" x14ac:dyDescent="0.25">
      <c r="A36">
        <v>35</v>
      </c>
      <c r="B36" s="21" t="s">
        <v>62</v>
      </c>
      <c r="C36" s="50" t="s">
        <v>104</v>
      </c>
      <c r="D36" s="24" t="s">
        <v>59</v>
      </c>
      <c r="E36" s="3" t="s">
        <v>33</v>
      </c>
      <c r="F36" s="5">
        <v>9111023105</v>
      </c>
      <c r="G36" s="5"/>
      <c r="H36" s="5">
        <v>2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ht="30" x14ac:dyDescent="0.25">
      <c r="A37">
        <v>36</v>
      </c>
      <c r="B37" s="19" t="s">
        <v>60</v>
      </c>
      <c r="C37" s="19"/>
      <c r="D37" s="24" t="s">
        <v>61</v>
      </c>
      <c r="E37" s="3" t="s">
        <v>32</v>
      </c>
      <c r="F37" s="5">
        <v>9103075780</v>
      </c>
      <c r="G37" s="5"/>
      <c r="H37" s="5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ht="45" x14ac:dyDescent="0.25">
      <c r="A38">
        <v>37</v>
      </c>
      <c r="B38" s="14" t="s">
        <v>10</v>
      </c>
      <c r="C38" s="32" t="s">
        <v>122</v>
      </c>
      <c r="D38" s="22" t="s">
        <v>63</v>
      </c>
      <c r="E38" s="3" t="s">
        <v>33</v>
      </c>
      <c r="F38" s="5">
        <v>2635221863</v>
      </c>
      <c r="G38" s="5"/>
      <c r="H38" s="5">
        <v>15</v>
      </c>
      <c r="I38" s="3"/>
      <c r="J38" s="3"/>
      <c r="K38" s="3"/>
      <c r="L38" s="3"/>
      <c r="M38" s="3"/>
      <c r="N38" s="3"/>
      <c r="O38" s="3"/>
      <c r="P38" s="4">
        <v>62</v>
      </c>
      <c r="Q38" s="4">
        <v>62</v>
      </c>
      <c r="R38" s="4">
        <v>62</v>
      </c>
      <c r="S38" s="3"/>
      <c r="T38" s="3"/>
      <c r="U38" s="3"/>
      <c r="V38" s="3"/>
      <c r="W38" s="3"/>
    </row>
    <row r="39" spans="1:23" ht="30" x14ac:dyDescent="0.25">
      <c r="A39">
        <v>38</v>
      </c>
      <c r="B39" s="32" t="s">
        <v>67</v>
      </c>
      <c r="C39" s="14"/>
      <c r="D39" s="24" t="s">
        <v>121</v>
      </c>
      <c r="E39" s="3" t="s">
        <v>33</v>
      </c>
      <c r="F39" s="5">
        <v>2633001943</v>
      </c>
      <c r="G39" s="5">
        <v>16</v>
      </c>
      <c r="H39" s="5"/>
      <c r="I39" s="3"/>
      <c r="J39" s="3"/>
      <c r="K39" s="3"/>
      <c r="L39" s="3"/>
      <c r="M39" s="3"/>
      <c r="N39" s="3"/>
      <c r="O39" s="3"/>
      <c r="P39" s="4">
        <v>71</v>
      </c>
      <c r="Q39" s="4">
        <v>71</v>
      </c>
      <c r="R39" s="4">
        <v>71</v>
      </c>
      <c r="S39" s="3"/>
      <c r="T39" s="3"/>
      <c r="U39" s="3"/>
      <c r="V39" s="3"/>
      <c r="W39" s="3"/>
    </row>
    <row r="40" spans="1:23" ht="45" x14ac:dyDescent="0.25">
      <c r="A40">
        <v>39</v>
      </c>
      <c r="B40" s="19" t="s">
        <v>68</v>
      </c>
      <c r="C40" s="19"/>
      <c r="D40" s="22" t="s">
        <v>69</v>
      </c>
      <c r="E40" s="22" t="s">
        <v>70</v>
      </c>
      <c r="F40" s="27" t="s">
        <v>71</v>
      </c>
      <c r="G40" s="27"/>
      <c r="H40" s="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ht="30" x14ac:dyDescent="0.25">
      <c r="A41">
        <v>40</v>
      </c>
      <c r="B41" s="3" t="s">
        <v>72</v>
      </c>
      <c r="C41" s="3"/>
      <c r="D41" s="24" t="s">
        <v>73</v>
      </c>
      <c r="E41" s="3" t="s">
        <v>32</v>
      </c>
      <c r="F41" s="5">
        <v>2635100354</v>
      </c>
      <c r="G41" s="5"/>
      <c r="H41" s="5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ht="30" x14ac:dyDescent="0.25">
      <c r="A42">
        <v>41</v>
      </c>
      <c r="B42" s="3" t="s">
        <v>74</v>
      </c>
      <c r="C42" s="3"/>
      <c r="D42" s="22" t="s">
        <v>75</v>
      </c>
      <c r="E42" s="4" t="s">
        <v>33</v>
      </c>
      <c r="F42" s="5">
        <v>2631018148</v>
      </c>
      <c r="G42" s="5">
        <v>27</v>
      </c>
      <c r="H42" s="5"/>
      <c r="I42" s="3"/>
      <c r="J42" s="3"/>
      <c r="K42" s="3"/>
      <c r="L42" s="3"/>
      <c r="M42" s="3"/>
      <c r="N42" s="3"/>
      <c r="O42" s="3"/>
      <c r="P42" s="8">
        <v>72</v>
      </c>
      <c r="Q42" s="8">
        <v>72</v>
      </c>
      <c r="R42" s="8">
        <v>72</v>
      </c>
      <c r="S42" s="8">
        <v>77</v>
      </c>
      <c r="T42" s="3"/>
      <c r="U42" s="3"/>
      <c r="V42" s="3"/>
      <c r="W42" s="3"/>
    </row>
    <row r="43" spans="1:23" ht="45" x14ac:dyDescent="0.25">
      <c r="A43">
        <v>42</v>
      </c>
      <c r="B43" s="14" t="s">
        <v>77</v>
      </c>
      <c r="C43" s="32" t="s">
        <v>105</v>
      </c>
      <c r="D43" s="24" t="s">
        <v>78</v>
      </c>
      <c r="E43" s="3" t="s">
        <v>76</v>
      </c>
      <c r="F43" s="27" t="s">
        <v>79</v>
      </c>
      <c r="G43" s="27"/>
      <c r="H43" s="27" t="s">
        <v>123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ht="45" x14ac:dyDescent="0.25">
      <c r="A44">
        <v>43</v>
      </c>
      <c r="B44" s="63" t="s">
        <v>80</v>
      </c>
      <c r="C44" s="64" t="s">
        <v>106</v>
      </c>
      <c r="D44" s="22" t="s">
        <v>81</v>
      </c>
      <c r="E44" s="3" t="s">
        <v>33</v>
      </c>
      <c r="F44" s="55">
        <v>9204564019</v>
      </c>
      <c r="G44" s="55"/>
      <c r="H44" s="55">
        <v>2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ht="60" x14ac:dyDescent="0.25">
      <c r="A45">
        <v>44</v>
      </c>
      <c r="B45" s="65" t="s">
        <v>83</v>
      </c>
      <c r="C45" s="64" t="s">
        <v>108</v>
      </c>
      <c r="D45" s="22" t="s">
        <v>84</v>
      </c>
      <c r="E45" s="22" t="s">
        <v>107</v>
      </c>
      <c r="F45" s="56">
        <v>9201523913</v>
      </c>
      <c r="G45" s="56">
        <v>2</v>
      </c>
      <c r="H45" s="56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ht="90.75" customHeight="1" x14ac:dyDescent="0.25">
      <c r="A46">
        <v>45</v>
      </c>
      <c r="B46" s="65" t="s">
        <v>109</v>
      </c>
      <c r="C46" s="64" t="s">
        <v>111</v>
      </c>
      <c r="D46" s="53" t="s">
        <v>110</v>
      </c>
      <c r="E46" s="52" t="s">
        <v>112</v>
      </c>
      <c r="F46" s="57">
        <v>9204566016</v>
      </c>
      <c r="G46" s="57">
        <v>1</v>
      </c>
      <c r="H46" s="57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ht="45" x14ac:dyDescent="0.25">
      <c r="A47">
        <v>46</v>
      </c>
      <c r="B47" s="14" t="s">
        <v>113</v>
      </c>
      <c r="C47" s="32" t="s">
        <v>114</v>
      </c>
      <c r="D47" s="53" t="s">
        <v>115</v>
      </c>
      <c r="E47" s="4" t="s">
        <v>33</v>
      </c>
      <c r="F47" s="58">
        <v>2634103698</v>
      </c>
      <c r="G47" s="56"/>
      <c r="H47" s="58">
        <v>2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ht="51" customHeight="1" x14ac:dyDescent="0.25">
      <c r="A48">
        <v>47</v>
      </c>
      <c r="B48" s="66" t="s">
        <v>116</v>
      </c>
      <c r="C48" s="67" t="s">
        <v>117</v>
      </c>
      <c r="D48" s="53" t="s">
        <v>118</v>
      </c>
      <c r="E48" s="4" t="s">
        <v>33</v>
      </c>
      <c r="F48" s="3">
        <v>2608800685</v>
      </c>
      <c r="G48" s="3"/>
      <c r="H48" s="3">
        <v>1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2:23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2:23" x14ac:dyDescent="0.25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2:23" x14ac:dyDescent="0.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2:23" x14ac:dyDescent="0.25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2:23" x14ac:dyDescent="0.25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2:23" x14ac:dyDescent="0.25">
      <c r="B54" s="3"/>
      <c r="C54" s="54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2:23" x14ac:dyDescent="0.25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2:23" x14ac:dyDescent="0.25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2:23" x14ac:dyDescent="0.25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2:23" x14ac:dyDescent="0.25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2:23" x14ac:dyDescent="0.25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2:23" x14ac:dyDescent="0.2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2:23" x14ac:dyDescent="0.25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2:23" x14ac:dyDescent="0.25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2:23" x14ac:dyDescent="0.25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6" spans="1:8" x14ac:dyDescent="0.25">
      <c r="A66" s="9"/>
      <c r="B66" t="s">
        <v>55</v>
      </c>
    </row>
    <row r="67" spans="1:8" x14ac:dyDescent="0.25">
      <c r="A67" s="7"/>
      <c r="B67" t="s">
        <v>56</v>
      </c>
    </row>
    <row r="68" spans="1:8" x14ac:dyDescent="0.25">
      <c r="A68" s="11"/>
      <c r="B68" t="s">
        <v>57</v>
      </c>
      <c r="H68" s="61">
        <f>H10+H11+H12+H13+H14+H15+H16+H17+H18+H19+H20+H21+H22+H23+H24+H25+H26+H27+H28+H29+H30+H31+H32+H33+H34+H35+H36+H37+H38+H39+H40+H41+H42+H43+H44+H45+H46+H47+H48</f>
        <v>166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8"/>
  <sheetViews>
    <sheetView workbookViewId="0">
      <pane ySplit="1" topLeftCell="A38" activePane="bottomLeft" state="frozen"/>
      <selection activeCell="B1" sqref="B1"/>
      <selection pane="bottomLeft" activeCell="B31" sqref="B31:F31"/>
    </sheetView>
  </sheetViews>
  <sheetFormatPr defaultRowHeight="15" x14ac:dyDescent="0.25"/>
  <cols>
    <col min="2" max="2" width="43.140625" customWidth="1"/>
    <col min="3" max="3" width="41.5703125" customWidth="1"/>
    <col min="4" max="4" width="25.7109375" customWidth="1"/>
    <col min="5" max="5" width="17.85546875" customWidth="1"/>
    <col min="6" max="6" width="15.85546875" customWidth="1"/>
    <col min="7" max="7" width="8.28515625" customWidth="1"/>
    <col min="8" max="8" width="8.42578125" customWidth="1"/>
  </cols>
  <sheetData>
    <row r="1" spans="1:23" x14ac:dyDescent="0.25">
      <c r="C1" s="23"/>
      <c r="G1" t="s">
        <v>119</v>
      </c>
      <c r="H1" s="59" t="s">
        <v>120</v>
      </c>
      <c r="I1" t="s">
        <v>37</v>
      </c>
      <c r="J1" s="2">
        <v>43101</v>
      </c>
      <c r="K1" s="2">
        <v>43132</v>
      </c>
      <c r="L1" s="2">
        <v>43160</v>
      </c>
      <c r="M1" s="2">
        <v>43191</v>
      </c>
      <c r="N1" s="2">
        <v>43221</v>
      </c>
      <c r="O1" s="2">
        <v>43252</v>
      </c>
      <c r="P1" s="2">
        <v>43282</v>
      </c>
      <c r="Q1" s="2">
        <v>43313</v>
      </c>
      <c r="R1" s="2">
        <v>43344</v>
      </c>
      <c r="S1" s="2">
        <v>43374</v>
      </c>
      <c r="T1" s="2">
        <v>43405</v>
      </c>
      <c r="U1" s="2">
        <v>43435</v>
      </c>
      <c r="V1" s="2">
        <v>43466</v>
      </c>
      <c r="W1" s="2">
        <v>43497</v>
      </c>
    </row>
    <row r="2" spans="1:23" x14ac:dyDescent="0.25">
      <c r="A2">
        <v>1</v>
      </c>
      <c r="B2" s="4" t="s">
        <v>29</v>
      </c>
      <c r="C2" s="4"/>
      <c r="D2" s="3"/>
      <c r="E2" s="4" t="s">
        <v>31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25">
      <c r="A3">
        <v>2</v>
      </c>
      <c r="B3" s="4" t="s">
        <v>30</v>
      </c>
      <c r="C3" s="4"/>
      <c r="D3" s="3"/>
      <c r="E3" s="4" t="s">
        <v>31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>
        <v>3</v>
      </c>
      <c r="B4" s="4" t="s">
        <v>0</v>
      </c>
      <c r="C4" s="4"/>
      <c r="D4" s="3"/>
      <c r="E4" s="4" t="s">
        <v>32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x14ac:dyDescent="0.25">
      <c r="A5">
        <v>4</v>
      </c>
      <c r="B5" s="4" t="s">
        <v>1</v>
      </c>
      <c r="C5" s="4"/>
      <c r="D5" s="3"/>
      <c r="E5" s="4" t="s">
        <v>31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:23" x14ac:dyDescent="0.25">
      <c r="A6">
        <v>5</v>
      </c>
      <c r="B6" s="4" t="s">
        <v>3</v>
      </c>
      <c r="C6" s="4"/>
      <c r="D6" s="3"/>
      <c r="E6" s="4" t="s">
        <v>32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 x14ac:dyDescent="0.25">
      <c r="A7">
        <v>6</v>
      </c>
      <c r="B7" s="4" t="s">
        <v>5</v>
      </c>
      <c r="C7" s="4"/>
      <c r="D7" s="3"/>
      <c r="E7" s="4" t="s">
        <v>31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 x14ac:dyDescent="0.25">
      <c r="A8">
        <v>7</v>
      </c>
      <c r="B8" s="4" t="s">
        <v>4</v>
      </c>
      <c r="C8" s="4"/>
      <c r="D8" s="3"/>
      <c r="E8" s="4" t="s">
        <v>32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 x14ac:dyDescent="0.25">
      <c r="A9">
        <v>8</v>
      </c>
      <c r="B9" s="4" t="s">
        <v>6</v>
      </c>
      <c r="C9" s="4"/>
      <c r="D9" s="3"/>
      <c r="E9" s="4" t="s">
        <v>32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x14ac:dyDescent="0.25">
      <c r="A10">
        <v>9</v>
      </c>
      <c r="B10" s="13" t="s">
        <v>2</v>
      </c>
      <c r="C10" s="13"/>
      <c r="D10" s="3" t="s">
        <v>14</v>
      </c>
      <c r="E10" s="3" t="s">
        <v>33</v>
      </c>
      <c r="F10" s="3"/>
      <c r="G10" s="3"/>
      <c r="H10" s="3">
        <v>1</v>
      </c>
      <c r="I10" s="3"/>
      <c r="J10" s="4"/>
      <c r="K10" s="4"/>
      <c r="L10" s="4"/>
      <c r="M10" s="4">
        <v>44</v>
      </c>
      <c r="N10" s="4">
        <v>44</v>
      </c>
      <c r="O10" s="4">
        <v>44</v>
      </c>
      <c r="P10" s="4">
        <v>67</v>
      </c>
      <c r="Q10" s="4">
        <v>67</v>
      </c>
      <c r="R10" s="4">
        <v>67</v>
      </c>
      <c r="S10" s="3"/>
      <c r="T10" s="3"/>
      <c r="U10" s="3"/>
      <c r="V10" s="3"/>
      <c r="W10" s="3"/>
    </row>
    <row r="11" spans="1:23" ht="60" x14ac:dyDescent="0.25">
      <c r="A11">
        <v>10</v>
      </c>
      <c r="B11" s="29" t="s">
        <v>7</v>
      </c>
      <c r="C11" s="28" t="s">
        <v>86</v>
      </c>
      <c r="D11" s="3"/>
      <c r="E11" s="3" t="s">
        <v>33</v>
      </c>
      <c r="F11" s="3"/>
      <c r="G11" s="3"/>
      <c r="H11" s="3">
        <v>3</v>
      </c>
      <c r="I11" s="3"/>
      <c r="J11" s="4"/>
      <c r="K11" s="4"/>
      <c r="L11" s="4"/>
      <c r="M11" s="4">
        <v>48</v>
      </c>
      <c r="N11" s="4">
        <v>48</v>
      </c>
      <c r="O11" s="4">
        <v>48</v>
      </c>
      <c r="P11" s="4">
        <v>66</v>
      </c>
      <c r="Q11" s="4">
        <v>66</v>
      </c>
      <c r="R11" s="4">
        <v>66</v>
      </c>
      <c r="S11" s="3"/>
      <c r="T11" s="3"/>
      <c r="U11" s="3"/>
      <c r="V11" s="3"/>
      <c r="W11" s="3"/>
    </row>
    <row r="12" spans="1:23" ht="75" x14ac:dyDescent="0.25">
      <c r="A12">
        <v>11</v>
      </c>
      <c r="B12" s="37" t="s">
        <v>8</v>
      </c>
      <c r="C12" s="30" t="s">
        <v>85</v>
      </c>
      <c r="D12" s="3"/>
      <c r="E12" s="3" t="s">
        <v>33</v>
      </c>
      <c r="F12" s="3"/>
      <c r="G12" s="3"/>
      <c r="H12" s="60">
        <v>26</v>
      </c>
      <c r="I12" s="3"/>
      <c r="J12" s="4"/>
      <c r="K12" s="4"/>
      <c r="L12" s="4"/>
      <c r="M12" s="4"/>
      <c r="N12" s="4"/>
      <c r="O12" s="4">
        <v>33</v>
      </c>
      <c r="P12" s="4">
        <v>49</v>
      </c>
      <c r="Q12" s="4">
        <v>52</v>
      </c>
      <c r="R12" s="12">
        <v>58</v>
      </c>
      <c r="S12" s="8">
        <v>73</v>
      </c>
      <c r="T12" s="3"/>
      <c r="U12" s="3"/>
      <c r="V12" s="3"/>
      <c r="W12" s="3"/>
    </row>
    <row r="13" spans="1:23" ht="45" x14ac:dyDescent="0.25">
      <c r="A13">
        <v>12</v>
      </c>
      <c r="B13" s="13" t="s">
        <v>12</v>
      </c>
      <c r="C13" s="28" t="s">
        <v>87</v>
      </c>
      <c r="D13" s="3" t="s">
        <v>11</v>
      </c>
      <c r="E13" s="3" t="s">
        <v>33</v>
      </c>
      <c r="F13" s="3">
        <v>2635221863</v>
      </c>
      <c r="G13" s="3"/>
      <c r="H13" s="3">
        <v>5</v>
      </c>
      <c r="I13" s="3"/>
      <c r="J13" s="4"/>
      <c r="K13" s="4"/>
      <c r="L13" s="4"/>
      <c r="M13" s="4"/>
      <c r="N13" s="4"/>
      <c r="O13" s="4"/>
      <c r="P13" s="4">
        <v>64</v>
      </c>
      <c r="Q13" s="4">
        <v>64</v>
      </c>
      <c r="R13" s="4">
        <v>64</v>
      </c>
      <c r="S13" s="3"/>
      <c r="T13" s="3"/>
      <c r="U13" s="3"/>
      <c r="V13" s="3"/>
      <c r="W13" s="3"/>
    </row>
    <row r="14" spans="1:23" ht="30" x14ac:dyDescent="0.25">
      <c r="A14">
        <v>13</v>
      </c>
      <c r="B14" s="36" t="s">
        <v>50</v>
      </c>
      <c r="C14" s="31" t="s">
        <v>88</v>
      </c>
      <c r="D14" s="3" t="s">
        <v>9</v>
      </c>
      <c r="E14" s="51" t="s">
        <v>31</v>
      </c>
      <c r="F14" s="3"/>
      <c r="G14" s="3"/>
      <c r="H14" s="3"/>
      <c r="I14" s="3"/>
      <c r="J14" s="4"/>
      <c r="K14" s="4"/>
      <c r="L14" s="4"/>
      <c r="M14" s="10"/>
      <c r="N14" s="10"/>
      <c r="O14" s="10"/>
      <c r="P14" s="3"/>
      <c r="Q14" s="3"/>
      <c r="R14" s="3"/>
      <c r="S14" s="3"/>
      <c r="T14" s="3"/>
      <c r="U14" s="3"/>
      <c r="V14" s="3"/>
      <c r="W14" s="3"/>
    </row>
    <row r="15" spans="1:23" ht="45" x14ac:dyDescent="0.25">
      <c r="A15">
        <v>14</v>
      </c>
      <c r="B15" s="35" t="s">
        <v>15</v>
      </c>
      <c r="C15" s="32" t="s">
        <v>89</v>
      </c>
      <c r="D15" s="3" t="s">
        <v>13</v>
      </c>
      <c r="E15" s="3" t="s">
        <v>33</v>
      </c>
      <c r="F15" s="3">
        <v>2635221969</v>
      </c>
      <c r="G15" s="3"/>
      <c r="H15" s="3">
        <v>1</v>
      </c>
      <c r="I15" s="3"/>
      <c r="J15" s="4"/>
      <c r="K15" s="4"/>
      <c r="L15" s="4"/>
      <c r="M15" s="4">
        <v>34</v>
      </c>
      <c r="N15" s="4">
        <v>34</v>
      </c>
      <c r="O15" s="4">
        <v>34</v>
      </c>
      <c r="P15" s="4">
        <v>60</v>
      </c>
      <c r="Q15" s="4">
        <v>60</v>
      </c>
      <c r="R15" s="4">
        <v>60</v>
      </c>
      <c r="S15" s="3"/>
      <c r="T15" s="3"/>
      <c r="U15" s="3"/>
      <c r="V15" s="3"/>
      <c r="W15" s="3"/>
    </row>
    <row r="16" spans="1:23" ht="89.25" customHeight="1" x14ac:dyDescent="0.25">
      <c r="A16">
        <v>15</v>
      </c>
      <c r="B16" s="34" t="s">
        <v>16</v>
      </c>
      <c r="C16" s="33" t="s">
        <v>90</v>
      </c>
      <c r="D16" s="3" t="s">
        <v>17</v>
      </c>
      <c r="E16" s="3" t="s">
        <v>33</v>
      </c>
      <c r="F16" s="3"/>
      <c r="G16" s="3">
        <v>56</v>
      </c>
      <c r="H16" s="3"/>
      <c r="I16" s="3"/>
      <c r="J16" s="4"/>
      <c r="K16" s="4"/>
      <c r="L16" s="4"/>
      <c r="M16" s="4"/>
      <c r="N16" s="4"/>
      <c r="O16" s="4">
        <v>47</v>
      </c>
      <c r="P16" s="4">
        <v>50</v>
      </c>
      <c r="Q16" s="4">
        <v>53</v>
      </c>
      <c r="R16" s="62" t="s">
        <v>82</v>
      </c>
      <c r="S16" s="42">
        <v>76</v>
      </c>
      <c r="T16" s="3"/>
      <c r="U16" s="3"/>
      <c r="V16" s="3"/>
      <c r="W16" s="3"/>
    </row>
    <row r="17" spans="1:23" s="1" customFormat="1" ht="75" x14ac:dyDescent="0.25">
      <c r="A17" s="1">
        <v>16</v>
      </c>
      <c r="B17" s="6" t="s">
        <v>91</v>
      </c>
      <c r="C17" s="38" t="s">
        <v>92</v>
      </c>
      <c r="D17" s="24" t="s">
        <v>18</v>
      </c>
      <c r="E17" s="51" t="s">
        <v>31</v>
      </c>
      <c r="F17" s="5">
        <v>2631017874</v>
      </c>
      <c r="G17" s="5"/>
      <c r="H17" s="5"/>
      <c r="I17" s="5"/>
      <c r="J17" s="6"/>
      <c r="K17" s="6"/>
      <c r="L17" s="6"/>
      <c r="M17" s="6">
        <v>32</v>
      </c>
      <c r="N17" s="6">
        <v>32</v>
      </c>
      <c r="O17" s="6">
        <v>32</v>
      </c>
      <c r="P17" s="5"/>
      <c r="Q17" s="5"/>
      <c r="R17" s="5"/>
      <c r="S17" s="5"/>
      <c r="T17" s="5"/>
      <c r="U17" s="5"/>
      <c r="V17" s="5"/>
      <c r="W17" s="5"/>
    </row>
    <row r="18" spans="1:23" ht="45" x14ac:dyDescent="0.25">
      <c r="A18">
        <v>17</v>
      </c>
      <c r="B18" s="15" t="s">
        <v>19</v>
      </c>
      <c r="C18" s="39" t="s">
        <v>93</v>
      </c>
      <c r="D18" s="24" t="s">
        <v>21</v>
      </c>
      <c r="E18" s="3" t="s">
        <v>33</v>
      </c>
      <c r="F18" s="5">
        <v>2631027142</v>
      </c>
      <c r="G18" s="5"/>
      <c r="H18" s="5">
        <v>1</v>
      </c>
      <c r="I18" s="3"/>
      <c r="J18" s="4"/>
      <c r="K18" s="4"/>
      <c r="L18" s="4"/>
      <c r="M18" s="4">
        <v>45</v>
      </c>
      <c r="N18" s="4">
        <v>45</v>
      </c>
      <c r="O18" s="4">
        <v>45</v>
      </c>
      <c r="P18" s="4">
        <v>69</v>
      </c>
      <c r="Q18" s="4">
        <v>69</v>
      </c>
      <c r="R18" s="4">
        <v>69</v>
      </c>
      <c r="S18" s="3"/>
      <c r="T18" s="3"/>
      <c r="U18" s="3"/>
      <c r="V18" s="3"/>
      <c r="W18" s="3"/>
    </row>
    <row r="19" spans="1:23" ht="75" x14ac:dyDescent="0.25">
      <c r="A19">
        <v>18</v>
      </c>
      <c r="B19" s="6" t="s">
        <v>91</v>
      </c>
      <c r="C19" s="38" t="s">
        <v>92</v>
      </c>
      <c r="D19" s="38" t="s">
        <v>47</v>
      </c>
      <c r="E19" s="51" t="s">
        <v>31</v>
      </c>
      <c r="F19" s="5">
        <v>2631017874</v>
      </c>
      <c r="G19" s="5"/>
      <c r="H19" s="5"/>
      <c r="I19" s="3"/>
      <c r="J19" s="3"/>
      <c r="K19" s="3"/>
      <c r="L19" s="3"/>
      <c r="M19" s="3"/>
      <c r="N19" s="3"/>
      <c r="O19" s="3"/>
      <c r="P19" s="10"/>
      <c r="Q19" s="10"/>
      <c r="R19" s="10"/>
      <c r="S19" s="3"/>
      <c r="T19" s="3"/>
      <c r="U19" s="3"/>
      <c r="V19" s="3"/>
      <c r="W19" s="3"/>
    </row>
    <row r="20" spans="1:23" ht="45" x14ac:dyDescent="0.25">
      <c r="A20">
        <v>19</v>
      </c>
      <c r="B20" s="39" t="s">
        <v>28</v>
      </c>
      <c r="C20" s="39" t="s">
        <v>94</v>
      </c>
      <c r="D20" s="24" t="s">
        <v>20</v>
      </c>
      <c r="E20" s="3" t="s">
        <v>33</v>
      </c>
      <c r="F20" s="5">
        <v>2631027880</v>
      </c>
      <c r="G20" s="5"/>
      <c r="H20" s="5">
        <v>1</v>
      </c>
      <c r="I20" s="3"/>
      <c r="J20" s="4"/>
      <c r="K20" s="4"/>
      <c r="L20" s="4"/>
      <c r="M20" s="4">
        <v>46</v>
      </c>
      <c r="N20" s="4">
        <v>46</v>
      </c>
      <c r="O20" s="4">
        <v>46</v>
      </c>
      <c r="P20" s="4">
        <v>68</v>
      </c>
      <c r="Q20" s="4">
        <v>68</v>
      </c>
      <c r="R20" s="4">
        <v>68</v>
      </c>
      <c r="S20" s="3"/>
      <c r="T20" s="3"/>
      <c r="U20" s="3"/>
      <c r="V20" s="3"/>
      <c r="W20" s="3"/>
    </row>
    <row r="21" spans="1:23" ht="30" x14ac:dyDescent="0.25">
      <c r="A21">
        <v>20</v>
      </c>
      <c r="B21" s="16" t="s">
        <v>22</v>
      </c>
      <c r="C21" s="40"/>
      <c r="D21" s="24" t="s">
        <v>23</v>
      </c>
      <c r="E21" s="51" t="s">
        <v>31</v>
      </c>
      <c r="F21" s="5">
        <v>2633003556</v>
      </c>
      <c r="G21" s="5"/>
      <c r="H21" s="5"/>
      <c r="I21" s="3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45" x14ac:dyDescent="0.25">
      <c r="A22">
        <v>21</v>
      </c>
      <c r="B22" s="15" t="s">
        <v>24</v>
      </c>
      <c r="C22" s="41" t="s">
        <v>95</v>
      </c>
      <c r="D22" s="24" t="s">
        <v>34</v>
      </c>
      <c r="E22" s="3" t="s">
        <v>33</v>
      </c>
      <c r="F22" s="5">
        <v>2631009785</v>
      </c>
      <c r="G22" s="5"/>
      <c r="H22" s="5">
        <v>2</v>
      </c>
      <c r="I22" s="3"/>
      <c r="J22" s="4"/>
      <c r="K22" s="4"/>
      <c r="L22" s="4"/>
      <c r="M22" s="4">
        <v>41</v>
      </c>
      <c r="N22" s="4">
        <v>41</v>
      </c>
      <c r="O22" s="4">
        <v>41</v>
      </c>
      <c r="P22" s="4">
        <v>63</v>
      </c>
      <c r="Q22" s="4">
        <v>63</v>
      </c>
      <c r="R22" s="4">
        <v>63</v>
      </c>
      <c r="S22" s="3"/>
      <c r="T22" s="3"/>
      <c r="U22" s="3"/>
      <c r="V22" s="3"/>
      <c r="W22" s="3"/>
    </row>
    <row r="23" spans="1:23" ht="87.75" customHeight="1" x14ac:dyDescent="0.25">
      <c r="A23">
        <v>22</v>
      </c>
      <c r="B23" s="46" t="s">
        <v>25</v>
      </c>
      <c r="C23" s="17" t="s">
        <v>96</v>
      </c>
      <c r="D23" s="24" t="s">
        <v>26</v>
      </c>
      <c r="E23" s="3" t="s">
        <v>33</v>
      </c>
      <c r="F23" s="5">
        <v>2634069743</v>
      </c>
      <c r="G23" s="5"/>
      <c r="H23" s="5">
        <v>6</v>
      </c>
      <c r="I23" s="3"/>
      <c r="J23" s="4"/>
      <c r="K23" s="4"/>
      <c r="L23" s="4"/>
      <c r="M23" s="4">
        <v>35</v>
      </c>
      <c r="N23" s="4">
        <v>35</v>
      </c>
      <c r="O23" s="4">
        <v>35</v>
      </c>
      <c r="P23" s="4">
        <v>56</v>
      </c>
      <c r="Q23" s="4">
        <v>56</v>
      </c>
      <c r="R23" s="4">
        <v>56</v>
      </c>
      <c r="S23" s="10"/>
      <c r="T23" s="10"/>
      <c r="U23" s="10"/>
      <c r="V23" s="3"/>
      <c r="W23" s="3"/>
    </row>
    <row r="24" spans="1:23" ht="30" x14ac:dyDescent="0.25">
      <c r="A24">
        <v>23</v>
      </c>
      <c r="B24" s="45" t="s">
        <v>10</v>
      </c>
      <c r="C24" s="18"/>
      <c r="D24" s="22" t="s">
        <v>27</v>
      </c>
      <c r="E24" s="51" t="s">
        <v>31</v>
      </c>
      <c r="F24" s="5">
        <v>2635221863</v>
      </c>
      <c r="G24" s="5"/>
      <c r="H24" s="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45" x14ac:dyDescent="0.25">
      <c r="A25">
        <v>24</v>
      </c>
      <c r="B25" s="29" t="s">
        <v>30</v>
      </c>
      <c r="C25" s="44" t="s">
        <v>97</v>
      </c>
      <c r="D25" s="24" t="s">
        <v>64</v>
      </c>
      <c r="E25" s="3" t="s">
        <v>33</v>
      </c>
      <c r="F25" s="5">
        <v>2631017987</v>
      </c>
      <c r="G25" s="5"/>
      <c r="H25" s="5">
        <v>32</v>
      </c>
      <c r="I25" s="3"/>
      <c r="J25" s="4"/>
      <c r="K25" s="4"/>
      <c r="L25" s="4"/>
      <c r="M25" s="4">
        <v>38</v>
      </c>
      <c r="N25" s="4">
        <v>38</v>
      </c>
      <c r="O25" s="4">
        <v>38</v>
      </c>
      <c r="P25" s="4">
        <v>59</v>
      </c>
      <c r="Q25" s="4">
        <v>59</v>
      </c>
      <c r="R25" s="4">
        <v>59</v>
      </c>
      <c r="S25" s="3"/>
      <c r="T25" s="3"/>
      <c r="U25" s="3"/>
      <c r="V25" s="3"/>
      <c r="W25" s="3"/>
    </row>
    <row r="26" spans="1:23" ht="45" x14ac:dyDescent="0.25">
      <c r="A26">
        <v>25</v>
      </c>
      <c r="B26" s="8" t="s">
        <v>35</v>
      </c>
      <c r="C26" s="47" t="s">
        <v>98</v>
      </c>
      <c r="D26" s="25" t="s">
        <v>36</v>
      </c>
      <c r="E26" s="48" t="s">
        <v>33</v>
      </c>
      <c r="F26" s="26">
        <v>2635232671</v>
      </c>
      <c r="G26" s="26"/>
      <c r="H26" s="26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 ht="45" x14ac:dyDescent="0.25">
      <c r="A27">
        <v>26</v>
      </c>
      <c r="B27" s="14" t="s">
        <v>53</v>
      </c>
      <c r="C27" s="32" t="s">
        <v>99</v>
      </c>
      <c r="D27" s="24" t="s">
        <v>38</v>
      </c>
      <c r="E27" s="3" t="s">
        <v>33</v>
      </c>
      <c r="F27" s="5">
        <v>2633001943</v>
      </c>
      <c r="G27" s="5">
        <v>65</v>
      </c>
      <c r="H27" s="5"/>
      <c r="I27" s="3"/>
      <c r="J27" s="3"/>
      <c r="K27" s="3"/>
      <c r="L27" s="3"/>
      <c r="M27" s="4">
        <v>40</v>
      </c>
      <c r="N27" s="4">
        <v>40</v>
      </c>
      <c r="O27" s="4">
        <v>40</v>
      </c>
      <c r="P27" s="4">
        <v>57</v>
      </c>
      <c r="Q27" s="4">
        <v>57</v>
      </c>
      <c r="R27" s="4">
        <v>57</v>
      </c>
      <c r="S27" s="3"/>
      <c r="T27" s="3"/>
      <c r="U27" s="3"/>
      <c r="V27" s="3"/>
      <c r="W27" s="3"/>
    </row>
    <row r="28" spans="1:23" ht="60" x14ac:dyDescent="0.25">
      <c r="A28">
        <v>27</v>
      </c>
      <c r="B28" s="49" t="s">
        <v>42</v>
      </c>
      <c r="C28" s="21" t="s">
        <v>100</v>
      </c>
      <c r="D28" s="24" t="s">
        <v>39</v>
      </c>
      <c r="E28" s="3" t="s">
        <v>33</v>
      </c>
      <c r="F28" s="5">
        <v>9107041038</v>
      </c>
      <c r="G28" s="5"/>
      <c r="H28" s="5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30" x14ac:dyDescent="0.25">
      <c r="A29">
        <v>28</v>
      </c>
      <c r="B29" s="4" t="s">
        <v>41</v>
      </c>
      <c r="C29" s="4"/>
      <c r="D29" s="24" t="s">
        <v>40</v>
      </c>
      <c r="E29" s="4" t="s">
        <v>32</v>
      </c>
      <c r="F29" s="5">
        <v>6829089890</v>
      </c>
      <c r="G29" s="5"/>
      <c r="H29" s="5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 ht="30" x14ac:dyDescent="0.25">
      <c r="A30">
        <v>29</v>
      </c>
      <c r="B30" s="14" t="s">
        <v>43</v>
      </c>
      <c r="C30" s="32" t="s">
        <v>101</v>
      </c>
      <c r="D30" s="24" t="s">
        <v>44</v>
      </c>
      <c r="E30" s="3" t="s">
        <v>33</v>
      </c>
      <c r="F30" s="5">
        <v>2635814951</v>
      </c>
      <c r="G30" s="5"/>
      <c r="H30" s="5">
        <v>34</v>
      </c>
      <c r="I30" s="3"/>
      <c r="J30" s="3"/>
      <c r="K30" s="3"/>
      <c r="L30" s="3"/>
      <c r="M30" s="3"/>
      <c r="N30" s="3"/>
      <c r="O30" s="3"/>
      <c r="P30" s="4">
        <v>61</v>
      </c>
      <c r="Q30" s="4">
        <v>61</v>
      </c>
      <c r="R30" s="4">
        <v>61</v>
      </c>
      <c r="S30" s="3"/>
      <c r="T30" s="3"/>
      <c r="U30" s="3"/>
      <c r="V30" s="3"/>
      <c r="W30" s="3"/>
    </row>
    <row r="31" spans="1:23" ht="60" x14ac:dyDescent="0.25">
      <c r="A31">
        <v>30</v>
      </c>
      <c r="B31" s="49" t="s">
        <v>48</v>
      </c>
      <c r="C31" s="50" t="s">
        <v>102</v>
      </c>
      <c r="D31" s="24" t="s">
        <v>45</v>
      </c>
      <c r="E31" s="3" t="s">
        <v>33</v>
      </c>
      <c r="F31" s="5">
        <v>9103001267</v>
      </c>
      <c r="G31" s="5"/>
      <c r="H31" s="5">
        <v>3</v>
      </c>
      <c r="I31" s="3"/>
      <c r="J31" s="3"/>
      <c r="K31" s="3"/>
      <c r="L31" s="3"/>
      <c r="M31" s="4">
        <v>51</v>
      </c>
      <c r="N31" s="4">
        <v>51</v>
      </c>
      <c r="O31" s="4">
        <v>51</v>
      </c>
      <c r="P31" s="8">
        <v>70</v>
      </c>
      <c r="Q31" s="8">
        <v>70</v>
      </c>
      <c r="R31" s="8">
        <v>70</v>
      </c>
      <c r="S31" s="3"/>
      <c r="T31" s="3"/>
      <c r="U31" s="3"/>
      <c r="V31" s="3"/>
      <c r="W31" s="3"/>
    </row>
    <row r="32" spans="1:23" ht="60" x14ac:dyDescent="0.25">
      <c r="A32">
        <v>31</v>
      </c>
      <c r="B32" s="20" t="s">
        <v>54</v>
      </c>
      <c r="C32" s="20" t="s">
        <v>103</v>
      </c>
      <c r="D32" s="24" t="s">
        <v>46</v>
      </c>
      <c r="E32" s="3" t="s">
        <v>33</v>
      </c>
      <c r="F32" s="5">
        <v>9111004455</v>
      </c>
      <c r="G32" s="5"/>
      <c r="H32" s="5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ht="30" x14ac:dyDescent="0.25">
      <c r="A33">
        <v>32</v>
      </c>
      <c r="B33" s="14" t="s">
        <v>49</v>
      </c>
      <c r="C33" s="14"/>
      <c r="D33" s="24" t="s">
        <v>66</v>
      </c>
      <c r="E33" s="3" t="s">
        <v>33</v>
      </c>
      <c r="F33" s="5">
        <v>2633003556</v>
      </c>
      <c r="G33" s="5">
        <v>58</v>
      </c>
      <c r="H33" s="5"/>
      <c r="I33" s="3"/>
      <c r="J33" s="3"/>
      <c r="K33" s="3"/>
      <c r="L33" s="3"/>
      <c r="M33" s="4" t="s">
        <v>52</v>
      </c>
      <c r="N33" s="4" t="s">
        <v>52</v>
      </c>
      <c r="O33" s="4" t="s">
        <v>52</v>
      </c>
      <c r="P33" s="4" t="s">
        <v>65</v>
      </c>
      <c r="Q33" s="4" t="s">
        <v>65</v>
      </c>
      <c r="R33" s="4" t="s">
        <v>65</v>
      </c>
      <c r="S33" s="3"/>
      <c r="T33" s="3"/>
      <c r="U33" s="3"/>
      <c r="V33" s="3"/>
      <c r="W33" s="3"/>
    </row>
    <row r="34" spans="1:23" ht="30" x14ac:dyDescent="0.25">
      <c r="A34">
        <v>33</v>
      </c>
      <c r="B34" s="18" t="s">
        <v>10</v>
      </c>
      <c r="C34" s="18"/>
      <c r="D34" s="22" t="s">
        <v>51</v>
      </c>
      <c r="E34" s="51" t="s">
        <v>31</v>
      </c>
      <c r="F34" s="5">
        <v>2635221863</v>
      </c>
      <c r="G34" s="5"/>
      <c r="H34" s="5"/>
      <c r="I34" s="3"/>
      <c r="J34" s="3"/>
      <c r="K34" s="3"/>
      <c r="L34" s="3"/>
      <c r="M34" s="4">
        <v>39</v>
      </c>
      <c r="N34" s="4">
        <v>39</v>
      </c>
      <c r="O34" s="4">
        <v>39</v>
      </c>
      <c r="P34" s="3"/>
      <c r="Q34" s="3"/>
      <c r="R34" s="3"/>
      <c r="S34" s="3"/>
      <c r="T34" s="3"/>
      <c r="U34" s="3"/>
      <c r="V34" s="3"/>
      <c r="W34" s="3"/>
    </row>
    <row r="35" spans="1:23" ht="75" x14ac:dyDescent="0.25">
      <c r="A35">
        <v>34</v>
      </c>
      <c r="B35" s="39" t="s">
        <v>58</v>
      </c>
      <c r="C35" s="43" t="s">
        <v>92</v>
      </c>
      <c r="D35" s="24" t="s">
        <v>47</v>
      </c>
      <c r="E35" s="4" t="s">
        <v>33</v>
      </c>
      <c r="F35" s="5">
        <v>2631017874</v>
      </c>
      <c r="G35" s="5"/>
      <c r="H35" s="5">
        <v>7</v>
      </c>
      <c r="I35" s="3"/>
      <c r="J35" s="3"/>
      <c r="K35" s="3"/>
      <c r="L35" s="3"/>
      <c r="M35" s="3"/>
      <c r="N35" s="3"/>
      <c r="O35" s="3"/>
      <c r="P35" s="4">
        <v>65</v>
      </c>
      <c r="Q35" s="4">
        <v>65</v>
      </c>
      <c r="R35" s="4">
        <v>65</v>
      </c>
      <c r="S35" s="3"/>
      <c r="T35" s="3"/>
      <c r="U35" s="3"/>
      <c r="V35" s="3"/>
      <c r="W35" s="3"/>
    </row>
    <row r="36" spans="1:23" ht="45" x14ac:dyDescent="0.25">
      <c r="A36">
        <v>35</v>
      </c>
      <c r="B36" s="21" t="s">
        <v>62</v>
      </c>
      <c r="C36" s="50" t="s">
        <v>104</v>
      </c>
      <c r="D36" s="24" t="s">
        <v>59</v>
      </c>
      <c r="E36" s="3" t="s">
        <v>33</v>
      </c>
      <c r="F36" s="5">
        <v>9111023105</v>
      </c>
      <c r="G36" s="5"/>
      <c r="H36" s="5">
        <v>2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ht="30" x14ac:dyDescent="0.25">
      <c r="A37">
        <v>36</v>
      </c>
      <c r="B37" s="19" t="s">
        <v>60</v>
      </c>
      <c r="C37" s="19"/>
      <c r="D37" s="24" t="s">
        <v>61</v>
      </c>
      <c r="E37" s="3" t="s">
        <v>32</v>
      </c>
      <c r="F37" s="5">
        <v>9103075780</v>
      </c>
      <c r="G37" s="5"/>
      <c r="H37" s="5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ht="45" x14ac:dyDescent="0.25">
      <c r="A38">
        <v>37</v>
      </c>
      <c r="B38" s="14" t="s">
        <v>10</v>
      </c>
      <c r="C38" s="32" t="s">
        <v>122</v>
      </c>
      <c r="D38" s="22" t="s">
        <v>63</v>
      </c>
      <c r="E38" s="3" t="s">
        <v>33</v>
      </c>
      <c r="F38" s="5">
        <v>2635221863</v>
      </c>
      <c r="G38" s="5"/>
      <c r="H38" s="5">
        <v>15</v>
      </c>
      <c r="I38" s="3"/>
      <c r="J38" s="3"/>
      <c r="K38" s="3"/>
      <c r="L38" s="3"/>
      <c r="M38" s="3"/>
      <c r="N38" s="3"/>
      <c r="O38" s="3"/>
      <c r="P38" s="4">
        <v>62</v>
      </c>
      <c r="Q38" s="4">
        <v>62</v>
      </c>
      <c r="R38" s="4">
        <v>62</v>
      </c>
      <c r="S38" s="3"/>
      <c r="T38" s="3"/>
      <c r="U38" s="3"/>
      <c r="V38" s="3"/>
      <c r="W38" s="3"/>
    </row>
    <row r="39" spans="1:23" ht="30" x14ac:dyDescent="0.25">
      <c r="A39">
        <v>38</v>
      </c>
      <c r="B39" s="32" t="s">
        <v>67</v>
      </c>
      <c r="C39" s="14"/>
      <c r="D39" s="24" t="s">
        <v>121</v>
      </c>
      <c r="E39" s="3" t="s">
        <v>33</v>
      </c>
      <c r="F39" s="5">
        <v>2633001943</v>
      </c>
      <c r="G39" s="5">
        <v>16</v>
      </c>
      <c r="H39" s="5"/>
      <c r="I39" s="3"/>
      <c r="J39" s="3"/>
      <c r="K39" s="3"/>
      <c r="L39" s="3"/>
      <c r="M39" s="3"/>
      <c r="N39" s="3"/>
      <c r="O39" s="3"/>
      <c r="P39" s="4">
        <v>71</v>
      </c>
      <c r="Q39" s="4">
        <v>71</v>
      </c>
      <c r="R39" s="4">
        <v>71</v>
      </c>
      <c r="S39" s="3"/>
      <c r="T39" s="3"/>
      <c r="U39" s="3"/>
      <c r="V39" s="3"/>
      <c r="W39" s="3"/>
    </row>
    <row r="40" spans="1:23" ht="45" x14ac:dyDescent="0.25">
      <c r="A40">
        <v>39</v>
      </c>
      <c r="B40" s="19" t="s">
        <v>68</v>
      </c>
      <c r="C40" s="19"/>
      <c r="D40" s="22" t="s">
        <v>69</v>
      </c>
      <c r="E40" s="22" t="s">
        <v>70</v>
      </c>
      <c r="F40" s="27" t="s">
        <v>71</v>
      </c>
      <c r="G40" s="27"/>
      <c r="H40" s="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ht="30" x14ac:dyDescent="0.25">
      <c r="A41">
        <v>40</v>
      </c>
      <c r="B41" s="3" t="s">
        <v>72</v>
      </c>
      <c r="C41" s="3"/>
      <c r="D41" s="24" t="s">
        <v>73</v>
      </c>
      <c r="E41" s="3" t="s">
        <v>32</v>
      </c>
      <c r="F41" s="5">
        <v>2635100354</v>
      </c>
      <c r="G41" s="5"/>
      <c r="H41" s="5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ht="30" x14ac:dyDescent="0.25">
      <c r="A42">
        <v>41</v>
      </c>
      <c r="B42" s="3" t="s">
        <v>74</v>
      </c>
      <c r="C42" s="3"/>
      <c r="D42" s="22" t="s">
        <v>75</v>
      </c>
      <c r="E42" s="4" t="s">
        <v>33</v>
      </c>
      <c r="F42" s="5">
        <v>2631018148</v>
      </c>
      <c r="G42" s="5">
        <v>27</v>
      </c>
      <c r="H42" s="5"/>
      <c r="I42" s="3"/>
      <c r="J42" s="3"/>
      <c r="K42" s="3"/>
      <c r="L42" s="3"/>
      <c r="M42" s="3"/>
      <c r="N42" s="3"/>
      <c r="O42" s="3"/>
      <c r="P42" s="8">
        <v>72</v>
      </c>
      <c r="Q42" s="8">
        <v>72</v>
      </c>
      <c r="R42" s="8">
        <v>72</v>
      </c>
      <c r="S42" s="8">
        <v>77</v>
      </c>
      <c r="T42" s="3"/>
      <c r="U42" s="3"/>
      <c r="V42" s="3"/>
      <c r="W42" s="3"/>
    </row>
    <row r="43" spans="1:23" ht="45" x14ac:dyDescent="0.25">
      <c r="A43">
        <v>42</v>
      </c>
      <c r="B43" s="14" t="s">
        <v>77</v>
      </c>
      <c r="C43" s="32" t="s">
        <v>105</v>
      </c>
      <c r="D43" s="24" t="s">
        <v>78</v>
      </c>
      <c r="E43" s="3" t="s">
        <v>76</v>
      </c>
      <c r="F43" s="27" t="s">
        <v>79</v>
      </c>
      <c r="G43" s="27"/>
      <c r="H43" s="27" t="s">
        <v>123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ht="45" x14ac:dyDescent="0.25">
      <c r="A44">
        <v>43</v>
      </c>
      <c r="B44" s="63" t="s">
        <v>80</v>
      </c>
      <c r="C44" s="64" t="s">
        <v>106</v>
      </c>
      <c r="D44" s="22" t="s">
        <v>81</v>
      </c>
      <c r="E44" s="3" t="s">
        <v>33</v>
      </c>
      <c r="F44" s="55">
        <v>9204564019</v>
      </c>
      <c r="G44" s="55"/>
      <c r="H44" s="55">
        <v>2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ht="60" x14ac:dyDescent="0.25">
      <c r="A45">
        <v>44</v>
      </c>
      <c r="B45" s="65" t="s">
        <v>83</v>
      </c>
      <c r="C45" s="64" t="s">
        <v>108</v>
      </c>
      <c r="D45" s="22" t="s">
        <v>84</v>
      </c>
      <c r="E45" s="22" t="s">
        <v>107</v>
      </c>
      <c r="F45" s="56">
        <v>9201523913</v>
      </c>
      <c r="G45" s="56">
        <v>2</v>
      </c>
      <c r="H45" s="56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ht="90.75" customHeight="1" x14ac:dyDescent="0.25">
      <c r="A46">
        <v>45</v>
      </c>
      <c r="B46" s="65" t="s">
        <v>109</v>
      </c>
      <c r="C46" s="64" t="s">
        <v>111</v>
      </c>
      <c r="D46" s="53" t="s">
        <v>110</v>
      </c>
      <c r="E46" s="52" t="s">
        <v>112</v>
      </c>
      <c r="F46" s="57">
        <v>9204566016</v>
      </c>
      <c r="G46" s="57">
        <v>1</v>
      </c>
      <c r="H46" s="57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ht="45" x14ac:dyDescent="0.25">
      <c r="A47">
        <v>46</v>
      </c>
      <c r="B47" s="14" t="s">
        <v>113</v>
      </c>
      <c r="C47" s="32" t="s">
        <v>114</v>
      </c>
      <c r="D47" s="53" t="s">
        <v>115</v>
      </c>
      <c r="E47" s="4" t="s">
        <v>33</v>
      </c>
      <c r="F47" s="58">
        <v>2634103698</v>
      </c>
      <c r="G47" s="56"/>
      <c r="H47" s="58">
        <v>2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ht="51" customHeight="1" x14ac:dyDescent="0.25">
      <c r="A48">
        <v>47</v>
      </c>
      <c r="B48" s="66" t="s">
        <v>116</v>
      </c>
      <c r="C48" s="67" t="s">
        <v>117</v>
      </c>
      <c r="D48" s="53" t="s">
        <v>118</v>
      </c>
      <c r="E48" s="4" t="s">
        <v>33</v>
      </c>
      <c r="F48" s="3">
        <v>2608800685</v>
      </c>
      <c r="G48" s="3"/>
      <c r="H48" s="3">
        <v>1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2:23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2:23" x14ac:dyDescent="0.25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2:23" x14ac:dyDescent="0.2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2:23" x14ac:dyDescent="0.25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2:23" x14ac:dyDescent="0.25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2:23" x14ac:dyDescent="0.25">
      <c r="B54" s="3"/>
      <c r="C54" s="54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2:23" x14ac:dyDescent="0.25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2:23" x14ac:dyDescent="0.25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2:23" x14ac:dyDescent="0.25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2:23" x14ac:dyDescent="0.25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2:23" x14ac:dyDescent="0.25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2:23" x14ac:dyDescent="0.2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2:23" x14ac:dyDescent="0.25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2:23" x14ac:dyDescent="0.25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2:23" x14ac:dyDescent="0.25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6" spans="1:8" x14ac:dyDescent="0.25">
      <c r="A66" s="9"/>
      <c r="B66" t="s">
        <v>55</v>
      </c>
    </row>
    <row r="67" spans="1:8" x14ac:dyDescent="0.25">
      <c r="A67" s="7"/>
      <c r="B67" t="s">
        <v>56</v>
      </c>
    </row>
    <row r="68" spans="1:8" x14ac:dyDescent="0.25">
      <c r="A68" s="11"/>
      <c r="B68" t="s">
        <v>57</v>
      </c>
      <c r="H68" s="61">
        <f>H10+H11+H12+H13+H14+H15+H16+H17+H18+H19+H20+H21+H22+H23+H24+H25+H26+H27+H28+H29+H30+H31+H32+H33+H34+H35+H36+H37+H38+H39+H40+H41+H42+H43+H44+H45+H46+H47+H48</f>
        <v>166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29"/>
  <sheetViews>
    <sheetView zoomScale="70" zoomScaleNormal="70" workbookViewId="0">
      <pane xSplit="8" ySplit="2" topLeftCell="I66" activePane="bottomRight" state="frozen"/>
      <selection pane="topRight" activeCell="I1" sqref="I1"/>
      <selection pane="bottomLeft" activeCell="A3" sqref="A3"/>
      <selection pane="bottomRight" activeCell="B59" sqref="B59:F59"/>
    </sheetView>
  </sheetViews>
  <sheetFormatPr defaultRowHeight="15" x14ac:dyDescent="0.25"/>
  <cols>
    <col min="1" max="1" width="6" customWidth="1"/>
    <col min="2" max="2" width="35.5703125" customWidth="1"/>
    <col min="3" max="3" width="39.140625" customWidth="1"/>
    <col min="4" max="4" width="25.7109375" customWidth="1"/>
    <col min="5" max="5" width="14.140625" customWidth="1"/>
    <col min="6" max="6" width="13.140625" customWidth="1"/>
    <col min="7" max="7" width="8.28515625" customWidth="1"/>
    <col min="8" max="8" width="8.42578125" customWidth="1"/>
    <col min="11" max="11" width="8" customWidth="1"/>
    <col min="12" max="12" width="8.140625" customWidth="1"/>
  </cols>
  <sheetData>
    <row r="1" spans="1:23" ht="29.25" customHeight="1" x14ac:dyDescent="0.25">
      <c r="A1" s="71" t="s">
        <v>124</v>
      </c>
      <c r="B1" s="119" t="s">
        <v>125</v>
      </c>
      <c r="C1" s="120" t="s">
        <v>126</v>
      </c>
      <c r="D1" s="121" t="s">
        <v>127</v>
      </c>
      <c r="E1" s="119" t="s">
        <v>129</v>
      </c>
      <c r="F1" s="119" t="s">
        <v>128</v>
      </c>
      <c r="G1" s="119" t="s">
        <v>263</v>
      </c>
      <c r="H1" s="119" t="s">
        <v>261</v>
      </c>
      <c r="I1" s="119" t="s">
        <v>262</v>
      </c>
      <c r="J1" s="131">
        <v>43466</v>
      </c>
      <c r="K1" s="132">
        <v>43497</v>
      </c>
      <c r="L1" s="132">
        <v>43525</v>
      </c>
      <c r="M1" s="133">
        <v>43556</v>
      </c>
      <c r="N1" s="133">
        <v>43586</v>
      </c>
      <c r="O1" s="133">
        <v>43617</v>
      </c>
      <c r="P1" s="135">
        <v>43647</v>
      </c>
      <c r="Q1" s="135">
        <v>43678</v>
      </c>
      <c r="R1" s="135">
        <v>43709</v>
      </c>
      <c r="S1" s="134">
        <v>43739</v>
      </c>
      <c r="T1" s="134">
        <v>43770</v>
      </c>
      <c r="U1" s="134">
        <v>43800</v>
      </c>
      <c r="V1" s="122">
        <v>43831</v>
      </c>
      <c r="W1" s="122">
        <v>43862</v>
      </c>
    </row>
    <row r="2" spans="1:23" x14ac:dyDescent="0.25">
      <c r="A2" s="68"/>
      <c r="B2" s="68"/>
      <c r="C2" s="69"/>
      <c r="D2" s="70"/>
      <c r="E2" s="68"/>
      <c r="F2" s="68"/>
      <c r="G2" s="68"/>
      <c r="H2" s="71"/>
      <c r="I2" s="68"/>
      <c r="J2" s="123" t="s">
        <v>414</v>
      </c>
      <c r="K2" s="124" t="s">
        <v>413</v>
      </c>
      <c r="L2" s="124" t="s">
        <v>415</v>
      </c>
      <c r="M2" s="123" t="s">
        <v>414</v>
      </c>
      <c r="N2" s="124" t="s">
        <v>413</v>
      </c>
      <c r="O2" s="124" t="s">
        <v>415</v>
      </c>
      <c r="P2" s="123" t="s">
        <v>414</v>
      </c>
      <c r="Q2" s="124" t="s">
        <v>413</v>
      </c>
      <c r="R2" s="124" t="s">
        <v>415</v>
      </c>
      <c r="S2" s="123" t="s">
        <v>414</v>
      </c>
      <c r="T2" s="124" t="s">
        <v>413</v>
      </c>
      <c r="U2" s="124" t="s">
        <v>415</v>
      </c>
      <c r="V2" s="72"/>
      <c r="W2" s="72"/>
    </row>
    <row r="3" spans="1:23" ht="30" customHeight="1" x14ac:dyDescent="0.25">
      <c r="A3">
        <v>1</v>
      </c>
      <c r="B3" s="28" t="s">
        <v>2</v>
      </c>
      <c r="C3" s="13"/>
      <c r="D3" s="3" t="s">
        <v>14</v>
      </c>
      <c r="E3" s="3" t="s">
        <v>33</v>
      </c>
      <c r="F3" s="3"/>
      <c r="G3" s="3"/>
      <c r="H3" s="76">
        <v>1</v>
      </c>
      <c r="I3" s="3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3"/>
      <c r="W3" s="3"/>
    </row>
    <row r="4" spans="1:23" ht="60" x14ac:dyDescent="0.25">
      <c r="A4">
        <v>2</v>
      </c>
      <c r="B4" s="90" t="s">
        <v>7</v>
      </c>
      <c r="C4" s="87" t="s">
        <v>86</v>
      </c>
      <c r="D4" s="3"/>
      <c r="E4" s="3"/>
      <c r="F4" s="3"/>
      <c r="G4" s="3"/>
      <c r="H4" s="117">
        <v>3</v>
      </c>
      <c r="I4" s="3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3"/>
      <c r="W4" s="3"/>
    </row>
    <row r="5" spans="1:23" ht="45" x14ac:dyDescent="0.25">
      <c r="A5">
        <v>4</v>
      </c>
      <c r="B5" s="87" t="s">
        <v>12</v>
      </c>
      <c r="C5" s="87" t="s">
        <v>87</v>
      </c>
      <c r="D5" s="3"/>
      <c r="E5" s="3"/>
      <c r="F5" s="3">
        <v>2635221863</v>
      </c>
      <c r="G5" s="3"/>
      <c r="H5" s="104">
        <v>5</v>
      </c>
      <c r="I5" s="3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"/>
      <c r="W5" s="3"/>
    </row>
    <row r="6" spans="1:23" ht="60" x14ac:dyDescent="0.25">
      <c r="A6">
        <v>5</v>
      </c>
      <c r="B6" s="46" t="s">
        <v>15</v>
      </c>
      <c r="C6" s="32" t="s">
        <v>89</v>
      </c>
      <c r="D6" s="22" t="s">
        <v>150</v>
      </c>
      <c r="E6" s="3" t="s">
        <v>33</v>
      </c>
      <c r="F6" s="3">
        <v>2635221969</v>
      </c>
      <c r="G6" s="3"/>
      <c r="H6" s="76">
        <v>1</v>
      </c>
      <c r="I6" s="3">
        <v>1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3"/>
      <c r="W6" s="3"/>
    </row>
    <row r="7" spans="1:23" ht="45" x14ac:dyDescent="0.25">
      <c r="A7">
        <v>6</v>
      </c>
      <c r="B7" s="39" t="s">
        <v>19</v>
      </c>
      <c r="C7" s="39" t="s">
        <v>93</v>
      </c>
      <c r="D7" s="24" t="s">
        <v>21</v>
      </c>
      <c r="E7" s="3" t="s">
        <v>33</v>
      </c>
      <c r="F7" s="5">
        <v>2631027142</v>
      </c>
      <c r="G7" s="5"/>
      <c r="H7" s="78">
        <v>1</v>
      </c>
      <c r="I7" s="3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3"/>
      <c r="W7" s="3"/>
    </row>
    <row r="8" spans="1:23" ht="45" x14ac:dyDescent="0.25">
      <c r="A8">
        <v>7</v>
      </c>
      <c r="B8" s="39" t="s">
        <v>28</v>
      </c>
      <c r="C8" s="39" t="s">
        <v>94</v>
      </c>
      <c r="D8" s="24" t="s">
        <v>20</v>
      </c>
      <c r="E8" s="3" t="s">
        <v>33</v>
      </c>
      <c r="F8" s="5">
        <v>2631027880</v>
      </c>
      <c r="G8" s="5"/>
      <c r="H8" s="78">
        <v>2</v>
      </c>
      <c r="I8" s="3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"/>
      <c r="W8" s="3"/>
    </row>
    <row r="9" spans="1:23" ht="45" x14ac:dyDescent="0.25">
      <c r="A9">
        <v>8</v>
      </c>
      <c r="B9" s="39" t="s">
        <v>24</v>
      </c>
      <c r="C9" s="39" t="s">
        <v>95</v>
      </c>
      <c r="D9" s="24" t="s">
        <v>34</v>
      </c>
      <c r="E9" s="3" t="s">
        <v>33</v>
      </c>
      <c r="F9" s="5">
        <v>2631009785</v>
      </c>
      <c r="G9" s="5"/>
      <c r="H9" s="78">
        <v>2</v>
      </c>
      <c r="I9" s="3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"/>
      <c r="W9" s="3"/>
    </row>
    <row r="10" spans="1:23" ht="87.75" customHeight="1" x14ac:dyDescent="0.25">
      <c r="A10">
        <v>9</v>
      </c>
      <c r="B10" s="46" t="s">
        <v>25</v>
      </c>
      <c r="C10" s="17" t="s">
        <v>96</v>
      </c>
      <c r="D10" s="24" t="s">
        <v>386</v>
      </c>
      <c r="E10" s="3" t="s">
        <v>33</v>
      </c>
      <c r="F10" s="5">
        <v>2634069743</v>
      </c>
      <c r="G10" s="5"/>
      <c r="H10" s="79">
        <v>10</v>
      </c>
      <c r="I10" s="3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"/>
      <c r="W10" s="3"/>
    </row>
    <row r="11" spans="1:23" ht="45" x14ac:dyDescent="0.25">
      <c r="A11">
        <v>10</v>
      </c>
      <c r="B11" s="87" t="s">
        <v>35</v>
      </c>
      <c r="C11" s="87" t="s">
        <v>98</v>
      </c>
      <c r="D11" s="41" t="s">
        <v>36</v>
      </c>
      <c r="E11" s="74"/>
      <c r="F11" s="75">
        <v>2635232671</v>
      </c>
      <c r="G11" s="75"/>
      <c r="H11" s="103">
        <v>26</v>
      </c>
      <c r="I11" s="3"/>
      <c r="J11" s="10"/>
      <c r="K11" s="10"/>
      <c r="L11" s="10"/>
      <c r="M11" s="10"/>
      <c r="N11" s="10"/>
      <c r="O11" s="10"/>
      <c r="P11" s="10"/>
      <c r="Q11" s="10"/>
      <c r="R11" s="10"/>
      <c r="S11" s="97"/>
      <c r="T11" s="97"/>
      <c r="U11" s="97"/>
      <c r="V11" s="10"/>
      <c r="W11" s="3"/>
    </row>
    <row r="12" spans="1:23" ht="60" x14ac:dyDescent="0.25">
      <c r="A12">
        <v>11</v>
      </c>
      <c r="B12" s="50" t="s">
        <v>42</v>
      </c>
      <c r="C12" s="21" t="s">
        <v>100</v>
      </c>
      <c r="D12" s="24" t="s">
        <v>39</v>
      </c>
      <c r="E12" s="3" t="s">
        <v>33</v>
      </c>
      <c r="F12" s="5">
        <v>9107041038</v>
      </c>
      <c r="G12" s="5"/>
      <c r="H12" s="78">
        <v>3</v>
      </c>
      <c r="I12" s="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0"/>
      <c r="U12" s="10"/>
      <c r="V12" s="10"/>
      <c r="W12" s="3"/>
    </row>
    <row r="13" spans="1:23" ht="30" x14ac:dyDescent="0.25">
      <c r="A13">
        <v>12</v>
      </c>
      <c r="B13" s="32" t="s">
        <v>259</v>
      </c>
      <c r="C13" s="32" t="s">
        <v>101</v>
      </c>
      <c r="D13" s="24" t="s">
        <v>260</v>
      </c>
      <c r="E13" s="3" t="s">
        <v>33</v>
      </c>
      <c r="F13" s="5">
        <v>2635814951</v>
      </c>
      <c r="G13" s="3" t="s">
        <v>378</v>
      </c>
      <c r="H13" s="78">
        <v>40</v>
      </c>
      <c r="I13" s="3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0"/>
      <c r="U13" s="10"/>
      <c r="V13" s="10"/>
      <c r="W13" s="3"/>
    </row>
    <row r="14" spans="1:23" ht="75" x14ac:dyDescent="0.25">
      <c r="A14">
        <v>13</v>
      </c>
      <c r="B14" s="41" t="s">
        <v>423</v>
      </c>
      <c r="C14" s="41" t="s">
        <v>92</v>
      </c>
      <c r="D14" s="38" t="s">
        <v>424</v>
      </c>
      <c r="E14" s="3" t="s">
        <v>33</v>
      </c>
      <c r="F14" s="5">
        <v>2631017874</v>
      </c>
      <c r="G14" s="5"/>
      <c r="H14" s="118">
        <v>7</v>
      </c>
      <c r="I14" s="3"/>
      <c r="J14" s="126"/>
      <c r="K14" s="130" t="s">
        <v>425</v>
      </c>
      <c r="L14" s="126"/>
      <c r="M14" s="126"/>
      <c r="N14" s="126"/>
      <c r="O14" s="126"/>
      <c r="P14" s="126"/>
      <c r="Q14" s="126"/>
      <c r="R14" s="126"/>
      <c r="S14" s="126"/>
      <c r="T14" s="10"/>
      <c r="U14" s="10"/>
      <c r="V14" s="10"/>
      <c r="W14" s="3"/>
    </row>
    <row r="15" spans="1:23" ht="45" x14ac:dyDescent="0.25">
      <c r="A15">
        <v>14</v>
      </c>
      <c r="B15" s="21" t="s">
        <v>62</v>
      </c>
      <c r="C15" s="50" t="s">
        <v>104</v>
      </c>
      <c r="D15" s="24" t="s">
        <v>59</v>
      </c>
      <c r="E15" s="3" t="s">
        <v>33</v>
      </c>
      <c r="F15" s="5">
        <v>9111023105</v>
      </c>
      <c r="G15" s="5"/>
      <c r="H15" s="78">
        <v>2</v>
      </c>
      <c r="I15" s="3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3"/>
      <c r="U15" s="3"/>
      <c r="V15" s="3"/>
      <c r="W15" s="3"/>
    </row>
    <row r="16" spans="1:23" ht="75" x14ac:dyDescent="0.25">
      <c r="A16">
        <v>15</v>
      </c>
      <c r="B16" s="32" t="s">
        <v>10</v>
      </c>
      <c r="C16" s="32" t="s">
        <v>399</v>
      </c>
      <c r="D16" s="22" t="s">
        <v>379</v>
      </c>
      <c r="E16" s="3" t="s">
        <v>33</v>
      </c>
      <c r="F16" s="5">
        <v>2635221863</v>
      </c>
      <c r="G16" s="5"/>
      <c r="H16" s="79">
        <v>15</v>
      </c>
      <c r="I16" s="3"/>
      <c r="J16" s="125"/>
      <c r="K16" s="125"/>
      <c r="L16" s="125"/>
      <c r="M16" s="125"/>
      <c r="N16" s="125"/>
      <c r="O16" s="125"/>
      <c r="P16" s="126"/>
      <c r="Q16" s="126"/>
      <c r="R16" s="126"/>
      <c r="S16" s="126"/>
      <c r="T16" s="10"/>
      <c r="U16" s="10"/>
      <c r="V16" s="3"/>
      <c r="W16" s="3"/>
    </row>
    <row r="17" spans="1:23" x14ac:dyDescent="0.25">
      <c r="A17" s="450">
        <v>16</v>
      </c>
      <c r="B17" s="463" t="s">
        <v>74</v>
      </c>
      <c r="C17" s="466"/>
      <c r="D17" s="469" t="s">
        <v>264</v>
      </c>
      <c r="E17" s="472" t="s">
        <v>33</v>
      </c>
      <c r="F17" s="369">
        <v>2631018148</v>
      </c>
      <c r="G17" s="369"/>
      <c r="H17" s="360"/>
      <c r="I17" s="447">
        <v>25</v>
      </c>
      <c r="J17" s="127">
        <v>171</v>
      </c>
      <c r="K17" s="127" t="s">
        <v>416</v>
      </c>
      <c r="L17" s="128">
        <v>65</v>
      </c>
      <c r="M17" s="125"/>
      <c r="N17" s="125"/>
      <c r="O17" s="125"/>
      <c r="P17" s="126"/>
      <c r="Q17" s="126"/>
      <c r="R17" s="126"/>
      <c r="S17" s="126"/>
      <c r="T17" s="10"/>
      <c r="U17" s="10"/>
      <c r="V17" s="3"/>
      <c r="W17" s="3"/>
    </row>
    <row r="18" spans="1:23" x14ac:dyDescent="0.25">
      <c r="A18" s="450"/>
      <c r="B18" s="464"/>
      <c r="C18" s="467"/>
      <c r="D18" s="470"/>
      <c r="E18" s="473"/>
      <c r="F18" s="370"/>
      <c r="G18" s="370"/>
      <c r="H18" s="361"/>
      <c r="I18" s="448"/>
      <c r="J18" s="125"/>
      <c r="K18" s="125"/>
      <c r="L18" s="125"/>
      <c r="M18" s="125"/>
      <c r="N18" s="125"/>
      <c r="O18" s="125"/>
      <c r="P18" s="126"/>
      <c r="Q18" s="126"/>
      <c r="R18" s="126"/>
      <c r="S18" s="126"/>
      <c r="T18" s="10"/>
      <c r="U18" s="10"/>
      <c r="V18" s="3"/>
      <c r="W18" s="3"/>
    </row>
    <row r="19" spans="1:23" ht="12.75" customHeight="1" x14ac:dyDescent="0.25">
      <c r="A19" s="450"/>
      <c r="B19" s="465"/>
      <c r="C19" s="468"/>
      <c r="D19" s="471"/>
      <c r="E19" s="474"/>
      <c r="F19" s="371"/>
      <c r="G19" s="371"/>
      <c r="H19" s="362"/>
      <c r="I19" s="449"/>
      <c r="J19" s="126"/>
      <c r="K19" s="125"/>
      <c r="L19" s="125"/>
      <c r="M19" s="125"/>
      <c r="N19" s="125"/>
      <c r="O19" s="125"/>
      <c r="P19" s="126"/>
      <c r="Q19" s="126"/>
      <c r="R19" s="126"/>
      <c r="S19" s="126"/>
      <c r="T19" s="10"/>
      <c r="U19" s="10"/>
      <c r="V19" s="10"/>
      <c r="W19" s="10"/>
    </row>
    <row r="20" spans="1:23" ht="60" x14ac:dyDescent="0.25">
      <c r="A20">
        <v>17</v>
      </c>
      <c r="B20" s="63" t="s">
        <v>80</v>
      </c>
      <c r="C20" s="64" t="s">
        <v>106</v>
      </c>
      <c r="D20" s="22" t="s">
        <v>81</v>
      </c>
      <c r="E20" s="3" t="s">
        <v>33</v>
      </c>
      <c r="F20" s="55">
        <v>9204564019</v>
      </c>
      <c r="G20" s="55"/>
      <c r="H20" s="80">
        <v>2</v>
      </c>
      <c r="I20" s="3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3"/>
      <c r="U20" s="3"/>
      <c r="V20" s="3"/>
      <c r="W20" s="3"/>
    </row>
    <row r="21" spans="1:23" ht="45" x14ac:dyDescent="0.25">
      <c r="A21">
        <v>18</v>
      </c>
      <c r="B21" s="32" t="s">
        <v>113</v>
      </c>
      <c r="C21" s="32" t="s">
        <v>114</v>
      </c>
      <c r="D21" s="53" t="s">
        <v>115</v>
      </c>
      <c r="E21" s="10" t="s">
        <v>33</v>
      </c>
      <c r="F21" s="58">
        <v>2634103698</v>
      </c>
      <c r="G21" s="56"/>
      <c r="H21" s="81">
        <v>2</v>
      </c>
      <c r="I21" s="3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3"/>
      <c r="U21" s="3"/>
      <c r="V21" s="3"/>
      <c r="W21" s="3"/>
    </row>
    <row r="22" spans="1:23" ht="51" customHeight="1" x14ac:dyDescent="0.25">
      <c r="A22">
        <v>19</v>
      </c>
      <c r="B22" s="102" t="s">
        <v>116</v>
      </c>
      <c r="C22" s="67" t="s">
        <v>117</v>
      </c>
      <c r="D22" s="53" t="s">
        <v>118</v>
      </c>
      <c r="E22" s="10" t="s">
        <v>33</v>
      </c>
      <c r="F22" s="3">
        <v>2608800685</v>
      </c>
      <c r="G22" s="3"/>
      <c r="H22" s="76">
        <v>1</v>
      </c>
      <c r="I22" s="3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3"/>
      <c r="U22" s="3"/>
      <c r="V22" s="3"/>
      <c r="W22" s="3"/>
    </row>
    <row r="23" spans="1:23" x14ac:dyDescent="0.25">
      <c r="A23">
        <v>20</v>
      </c>
      <c r="B23" s="33" t="s">
        <v>130</v>
      </c>
      <c r="C23" s="106"/>
      <c r="D23" s="3"/>
      <c r="E23" s="3"/>
      <c r="F23" s="3"/>
      <c r="G23" s="3"/>
      <c r="H23" s="3">
        <v>5</v>
      </c>
      <c r="I23" s="3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3"/>
      <c r="U23" s="3"/>
      <c r="V23" s="3"/>
      <c r="W23" s="3"/>
    </row>
    <row r="24" spans="1:23" ht="60" x14ac:dyDescent="0.25">
      <c r="A24">
        <v>21</v>
      </c>
      <c r="B24" s="63" t="s">
        <v>131</v>
      </c>
      <c r="C24" s="63" t="s">
        <v>132</v>
      </c>
      <c r="D24" s="53" t="s">
        <v>133</v>
      </c>
      <c r="E24" s="10" t="s">
        <v>33</v>
      </c>
      <c r="F24" s="3">
        <v>9111016299</v>
      </c>
      <c r="G24" s="3"/>
      <c r="H24" s="3">
        <v>6</v>
      </c>
      <c r="I24" s="3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3"/>
      <c r="U24" s="3"/>
      <c r="V24" s="3"/>
      <c r="W24" s="3"/>
    </row>
    <row r="25" spans="1:23" ht="60" x14ac:dyDescent="0.25">
      <c r="A25">
        <v>22</v>
      </c>
      <c r="B25" s="32" t="s">
        <v>134</v>
      </c>
      <c r="C25" s="32" t="s">
        <v>135</v>
      </c>
      <c r="D25" s="53" t="s">
        <v>136</v>
      </c>
      <c r="E25" s="10" t="s">
        <v>33</v>
      </c>
      <c r="F25" s="3">
        <v>2634101490</v>
      </c>
      <c r="G25" s="76"/>
      <c r="H25" s="76">
        <v>1</v>
      </c>
      <c r="I25" s="3">
        <v>3</v>
      </c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3"/>
      <c r="U25" s="3"/>
      <c r="V25" s="3"/>
      <c r="W25" s="3"/>
    </row>
    <row r="26" spans="1:23" ht="75" x14ac:dyDescent="0.25">
      <c r="A26">
        <v>23</v>
      </c>
      <c r="B26" s="32" t="s">
        <v>139</v>
      </c>
      <c r="C26" s="32" t="s">
        <v>138</v>
      </c>
      <c r="D26" s="53" t="s">
        <v>137</v>
      </c>
      <c r="E26" s="10" t="s">
        <v>33</v>
      </c>
      <c r="F26" s="3">
        <v>2634077208</v>
      </c>
      <c r="G26" s="3"/>
      <c r="H26" s="3">
        <v>1</v>
      </c>
      <c r="I26" s="3"/>
      <c r="J26" s="125"/>
      <c r="K26" s="125"/>
      <c r="L26" s="125"/>
      <c r="M26" s="125"/>
      <c r="N26" s="125"/>
      <c r="O26" s="125"/>
      <c r="P26" s="125"/>
      <c r="Q26" s="125"/>
      <c r="R26" s="125"/>
      <c r="S26" s="126"/>
      <c r="T26" s="10"/>
      <c r="U26" s="10"/>
      <c r="V26" s="3"/>
      <c r="W26" s="3"/>
    </row>
    <row r="27" spans="1:23" ht="60" x14ac:dyDescent="0.25">
      <c r="A27">
        <v>24</v>
      </c>
      <c r="B27" s="32" t="s">
        <v>140</v>
      </c>
      <c r="C27" s="32" t="s">
        <v>142</v>
      </c>
      <c r="D27" s="53" t="s">
        <v>141</v>
      </c>
      <c r="E27" s="10" t="s">
        <v>33</v>
      </c>
      <c r="F27" s="3">
        <v>2634079300</v>
      </c>
      <c r="G27" s="3"/>
      <c r="H27" s="3">
        <v>2</v>
      </c>
      <c r="I27" s="3"/>
      <c r="J27" s="125"/>
      <c r="K27" s="125"/>
      <c r="L27" s="125"/>
      <c r="M27" s="125"/>
      <c r="N27" s="125"/>
      <c r="O27" s="125"/>
      <c r="P27" s="125"/>
      <c r="Q27" s="125"/>
      <c r="R27" s="125"/>
      <c r="S27" s="126"/>
      <c r="T27" s="10"/>
      <c r="U27" s="10"/>
      <c r="V27" s="3"/>
      <c r="W27" s="3"/>
    </row>
    <row r="28" spans="1:23" ht="45" x14ac:dyDescent="0.25">
      <c r="A28">
        <v>25</v>
      </c>
      <c r="B28" s="87" t="s">
        <v>147</v>
      </c>
      <c r="C28" s="87" t="s">
        <v>149</v>
      </c>
      <c r="D28" s="53" t="s">
        <v>148</v>
      </c>
      <c r="E28" s="3"/>
      <c r="F28" s="3">
        <v>2634049360</v>
      </c>
      <c r="G28" s="3"/>
      <c r="H28" s="66">
        <v>13</v>
      </c>
      <c r="I28" s="3"/>
      <c r="J28" s="125"/>
      <c r="K28" s="125"/>
      <c r="L28" s="125"/>
      <c r="M28" s="125"/>
      <c r="N28" s="125"/>
      <c r="O28" s="125"/>
      <c r="P28" s="125"/>
      <c r="Q28" s="125"/>
      <c r="R28" s="125"/>
      <c r="S28" s="126"/>
      <c r="T28" s="10"/>
      <c r="U28" s="10"/>
      <c r="V28" s="3"/>
      <c r="W28" s="3"/>
    </row>
    <row r="29" spans="1:23" ht="60" x14ac:dyDescent="0.25">
      <c r="A29">
        <v>26</v>
      </c>
      <c r="B29" s="32" t="s">
        <v>151</v>
      </c>
      <c r="C29" s="32" t="s">
        <v>152</v>
      </c>
      <c r="D29" s="53" t="s">
        <v>153</v>
      </c>
      <c r="E29" s="3" t="s">
        <v>33</v>
      </c>
      <c r="F29" s="3">
        <v>2636052167</v>
      </c>
      <c r="G29" s="3"/>
      <c r="H29" s="3">
        <v>1</v>
      </c>
      <c r="I29" s="3"/>
      <c r="J29" s="125"/>
      <c r="K29" s="125"/>
      <c r="L29" s="125"/>
      <c r="M29" s="125"/>
      <c r="N29" s="125"/>
      <c r="O29" s="125"/>
      <c r="P29" s="125"/>
      <c r="Q29" s="125"/>
      <c r="R29" s="125"/>
      <c r="S29" s="126"/>
      <c r="T29" s="10"/>
      <c r="U29" s="10"/>
      <c r="V29" s="3"/>
      <c r="W29" s="3"/>
    </row>
    <row r="30" spans="1:23" ht="60" x14ac:dyDescent="0.25">
      <c r="A30">
        <v>27</v>
      </c>
      <c r="B30" s="32" t="s">
        <v>154</v>
      </c>
      <c r="C30" s="32" t="s">
        <v>145</v>
      </c>
      <c r="D30" s="53" t="s">
        <v>143</v>
      </c>
      <c r="E30" s="3"/>
      <c r="F30" s="3">
        <v>2633003193</v>
      </c>
      <c r="G30" s="3"/>
      <c r="H30" s="66">
        <v>25</v>
      </c>
      <c r="I30" s="3"/>
      <c r="J30" s="125"/>
      <c r="K30" s="125"/>
      <c r="L30" s="125"/>
      <c r="M30" s="125"/>
      <c r="N30" s="125"/>
      <c r="O30" s="125"/>
      <c r="P30" s="125"/>
      <c r="Q30" s="125"/>
      <c r="R30" s="125"/>
      <c r="S30" s="126"/>
      <c r="T30" s="10"/>
      <c r="U30" s="10"/>
      <c r="V30" s="3"/>
      <c r="W30" s="3"/>
    </row>
    <row r="31" spans="1:23" ht="45" x14ac:dyDescent="0.25">
      <c r="A31">
        <v>28</v>
      </c>
      <c r="B31" s="87" t="s">
        <v>158</v>
      </c>
      <c r="C31" s="87" t="s">
        <v>163</v>
      </c>
      <c r="D31" s="53" t="s">
        <v>159</v>
      </c>
      <c r="E31" s="3"/>
      <c r="F31" s="3">
        <v>2636004646</v>
      </c>
      <c r="G31" s="77"/>
      <c r="H31" s="104">
        <v>2</v>
      </c>
      <c r="I31" s="3"/>
      <c r="J31" s="125"/>
      <c r="K31" s="125"/>
      <c r="L31" s="125"/>
      <c r="M31" s="125"/>
      <c r="N31" s="125"/>
      <c r="O31" s="126"/>
      <c r="P31" s="126"/>
      <c r="Q31" s="126"/>
      <c r="R31" s="126"/>
      <c r="S31" s="126"/>
      <c r="T31" s="10"/>
      <c r="U31" s="10"/>
      <c r="V31" s="3"/>
      <c r="W31" s="3"/>
    </row>
    <row r="32" spans="1:23" ht="60" x14ac:dyDescent="0.25">
      <c r="A32">
        <v>29</v>
      </c>
      <c r="B32" s="32" t="s">
        <v>168</v>
      </c>
      <c r="C32" s="32" t="s">
        <v>169</v>
      </c>
      <c r="D32" s="93" t="s">
        <v>267</v>
      </c>
      <c r="E32" s="3"/>
      <c r="F32" s="3">
        <v>2633005306</v>
      </c>
      <c r="G32" s="77"/>
      <c r="H32" s="77">
        <v>2</v>
      </c>
      <c r="I32" s="3"/>
      <c r="J32" s="125"/>
      <c r="K32" s="125"/>
      <c r="L32" s="125"/>
      <c r="M32" s="125"/>
      <c r="N32" s="125"/>
      <c r="O32" s="126"/>
      <c r="P32" s="126"/>
      <c r="Q32" s="126"/>
      <c r="R32" s="126"/>
      <c r="S32" s="126"/>
      <c r="T32" s="10"/>
      <c r="U32" s="10"/>
      <c r="V32" s="3"/>
      <c r="W32" s="3"/>
    </row>
    <row r="33" spans="1:23" ht="60" x14ac:dyDescent="0.25">
      <c r="A33">
        <v>30</v>
      </c>
      <c r="B33" s="32" t="s">
        <v>171</v>
      </c>
      <c r="C33" s="32" t="s">
        <v>172</v>
      </c>
      <c r="D33" s="53" t="s">
        <v>173</v>
      </c>
      <c r="E33" s="3" t="s">
        <v>33</v>
      </c>
      <c r="F33" s="3">
        <v>2635085339</v>
      </c>
      <c r="G33" s="77"/>
      <c r="H33" s="76">
        <v>2</v>
      </c>
      <c r="I33" s="3"/>
      <c r="J33" s="125"/>
      <c r="K33" s="125"/>
      <c r="L33" s="125"/>
      <c r="M33" s="125"/>
      <c r="N33" s="125"/>
      <c r="O33" s="126"/>
      <c r="P33" s="126"/>
      <c r="Q33" s="126"/>
      <c r="R33" s="126"/>
      <c r="S33" s="126"/>
      <c r="T33" s="10"/>
      <c r="U33" s="10"/>
      <c r="V33" s="3"/>
      <c r="W33" s="3"/>
    </row>
    <row r="34" spans="1:23" ht="60" x14ac:dyDescent="0.25">
      <c r="A34">
        <v>31</v>
      </c>
      <c r="B34" s="32" t="s">
        <v>174</v>
      </c>
      <c r="C34" s="32" t="s">
        <v>175</v>
      </c>
      <c r="D34" s="53" t="s">
        <v>176</v>
      </c>
      <c r="E34" s="3" t="s">
        <v>33</v>
      </c>
      <c r="F34" s="3">
        <v>2635091205</v>
      </c>
      <c r="G34" s="77"/>
      <c r="H34" s="76">
        <v>1</v>
      </c>
      <c r="I34" s="3"/>
      <c r="J34" s="125"/>
      <c r="K34" s="125"/>
      <c r="L34" s="125"/>
      <c r="M34" s="125"/>
      <c r="N34" s="125"/>
      <c r="O34" s="126"/>
      <c r="P34" s="126"/>
      <c r="Q34" s="126"/>
      <c r="R34" s="126"/>
      <c r="S34" s="126"/>
      <c r="T34" s="10"/>
      <c r="U34" s="10"/>
      <c r="V34" s="3"/>
      <c r="W34" s="3"/>
    </row>
    <row r="35" spans="1:23" ht="105" x14ac:dyDescent="0.25">
      <c r="A35">
        <v>32</v>
      </c>
      <c r="B35" s="30" t="s">
        <v>180</v>
      </c>
      <c r="C35" s="30" t="s">
        <v>181</v>
      </c>
      <c r="D35" s="94" t="s">
        <v>265</v>
      </c>
      <c r="E35" s="89" t="s">
        <v>33</v>
      </c>
      <c r="F35" s="3">
        <v>2610005839</v>
      </c>
      <c r="G35" s="77"/>
      <c r="H35" s="99">
        <v>5</v>
      </c>
      <c r="I35" s="3"/>
      <c r="J35" s="125"/>
      <c r="K35" s="125"/>
      <c r="L35" s="125"/>
      <c r="M35" s="125"/>
      <c r="N35" s="125"/>
      <c r="O35" s="125"/>
      <c r="P35" s="125"/>
      <c r="Q35" s="125"/>
      <c r="R35" s="125"/>
      <c r="S35" s="126"/>
      <c r="T35" s="10"/>
      <c r="U35" s="10"/>
      <c r="V35" s="3"/>
      <c r="W35" s="3"/>
    </row>
    <row r="36" spans="1:23" ht="75" x14ac:dyDescent="0.25">
      <c r="A36">
        <v>33</v>
      </c>
      <c r="B36" s="32" t="s">
        <v>184</v>
      </c>
      <c r="C36" s="32" t="s">
        <v>186</v>
      </c>
      <c r="D36" s="53" t="s">
        <v>185</v>
      </c>
      <c r="E36" s="3" t="s">
        <v>33</v>
      </c>
      <c r="F36" s="3">
        <v>2635101220</v>
      </c>
      <c r="G36" s="77"/>
      <c r="H36" s="76">
        <v>1</v>
      </c>
      <c r="I36" s="3"/>
      <c r="J36" s="125"/>
      <c r="K36" s="125"/>
      <c r="L36" s="125"/>
      <c r="M36" s="125"/>
      <c r="N36" s="125"/>
      <c r="O36" s="125"/>
      <c r="P36" s="125"/>
      <c r="Q36" s="125"/>
      <c r="R36" s="125"/>
      <c r="S36" s="126"/>
      <c r="T36" s="10"/>
      <c r="U36" s="10"/>
      <c r="V36" s="3"/>
      <c r="W36" s="3"/>
    </row>
    <row r="37" spans="1:23" ht="75" x14ac:dyDescent="0.25">
      <c r="A37">
        <v>34</v>
      </c>
      <c r="B37" s="100" t="s">
        <v>188</v>
      </c>
      <c r="C37" s="100" t="s">
        <v>190</v>
      </c>
      <c r="D37" s="53" t="s">
        <v>189</v>
      </c>
      <c r="E37" s="3" t="s">
        <v>33</v>
      </c>
      <c r="F37" s="3">
        <v>2602000587</v>
      </c>
      <c r="G37" s="77"/>
      <c r="H37" s="76">
        <v>1</v>
      </c>
      <c r="I37" s="3"/>
      <c r="J37" s="125"/>
      <c r="K37" s="125"/>
      <c r="L37" s="125"/>
      <c r="M37" s="125"/>
      <c r="N37" s="125"/>
      <c r="O37" s="125"/>
      <c r="P37" s="125"/>
      <c r="Q37" s="125"/>
      <c r="R37" s="125"/>
      <c r="S37" s="126"/>
      <c r="T37" s="10"/>
      <c r="U37" s="10"/>
      <c r="V37" s="3"/>
      <c r="W37" s="3"/>
    </row>
    <row r="38" spans="1:23" ht="75" x14ac:dyDescent="0.25">
      <c r="A38">
        <v>35</v>
      </c>
      <c r="B38" s="109" t="s">
        <v>191</v>
      </c>
      <c r="C38" s="109" t="s">
        <v>192</v>
      </c>
      <c r="D38" s="94" t="s">
        <v>266</v>
      </c>
      <c r="E38" s="3" t="s">
        <v>33</v>
      </c>
      <c r="F38" s="3">
        <v>2608003746</v>
      </c>
      <c r="G38" s="77"/>
      <c r="H38" s="76">
        <v>2</v>
      </c>
      <c r="I38" s="3"/>
      <c r="J38" s="125"/>
      <c r="K38" s="125"/>
      <c r="L38" s="125"/>
      <c r="M38" s="125"/>
      <c r="N38" s="125"/>
      <c r="O38" s="125"/>
      <c r="P38" s="125"/>
      <c r="Q38" s="125"/>
      <c r="R38" s="125"/>
      <c r="S38" s="126"/>
      <c r="T38" s="10"/>
      <c r="U38" s="10"/>
      <c r="V38" s="3"/>
      <c r="W38" s="3"/>
    </row>
    <row r="39" spans="1:23" ht="60" x14ac:dyDescent="0.25">
      <c r="A39">
        <v>36</v>
      </c>
      <c r="B39" s="14" t="s">
        <v>193</v>
      </c>
      <c r="C39" s="32" t="s">
        <v>194</v>
      </c>
      <c r="D39" s="93" t="s">
        <v>364</v>
      </c>
      <c r="E39" s="3" t="s">
        <v>33</v>
      </c>
      <c r="F39" s="3">
        <v>2633002440</v>
      </c>
      <c r="G39" s="77"/>
      <c r="H39" s="76">
        <v>5</v>
      </c>
      <c r="I39" s="3"/>
      <c r="J39" s="125"/>
      <c r="K39" s="125"/>
      <c r="L39" s="125"/>
      <c r="M39" s="125"/>
      <c r="N39" s="125"/>
      <c r="O39" s="125"/>
      <c r="P39" s="125"/>
      <c r="Q39" s="125"/>
      <c r="R39" s="125"/>
      <c r="S39" s="126"/>
      <c r="T39" s="10"/>
      <c r="U39" s="10"/>
      <c r="V39" s="3"/>
      <c r="W39" s="3"/>
    </row>
    <row r="40" spans="1:23" ht="75" x14ac:dyDescent="0.25">
      <c r="A40">
        <v>37</v>
      </c>
      <c r="B40" s="100" t="s">
        <v>196</v>
      </c>
      <c r="C40" s="100" t="s">
        <v>197</v>
      </c>
      <c r="D40" s="53" t="s">
        <v>198</v>
      </c>
      <c r="E40" s="3" t="s">
        <v>33</v>
      </c>
      <c r="F40" s="3">
        <v>2607019567</v>
      </c>
      <c r="G40" s="77"/>
      <c r="H40" s="76">
        <v>1</v>
      </c>
      <c r="I40" s="3"/>
      <c r="J40" s="125"/>
      <c r="K40" s="125"/>
      <c r="L40" s="125"/>
      <c r="M40" s="125"/>
      <c r="N40" s="125"/>
      <c r="O40" s="125"/>
      <c r="P40" s="125"/>
      <c r="Q40" s="125"/>
      <c r="R40" s="125"/>
      <c r="S40" s="126"/>
      <c r="T40" s="10"/>
      <c r="U40" s="10"/>
      <c r="V40" s="3"/>
      <c r="W40" s="3"/>
    </row>
    <row r="41" spans="1:23" ht="90" x14ac:dyDescent="0.25">
      <c r="A41">
        <v>38</v>
      </c>
      <c r="B41" s="108" t="s">
        <v>199</v>
      </c>
      <c r="C41" s="107" t="s">
        <v>201</v>
      </c>
      <c r="D41" s="53" t="s">
        <v>203</v>
      </c>
      <c r="E41" s="3" t="s">
        <v>33</v>
      </c>
      <c r="F41" s="3">
        <v>2624800403</v>
      </c>
      <c r="G41" s="77"/>
      <c r="H41" s="76">
        <v>1</v>
      </c>
      <c r="I41" s="3"/>
      <c r="J41" s="125"/>
      <c r="K41" s="125"/>
      <c r="L41" s="125"/>
      <c r="M41" s="125"/>
      <c r="N41" s="125"/>
      <c r="O41" s="125"/>
      <c r="P41" s="125"/>
      <c r="Q41" s="125"/>
      <c r="R41" s="125"/>
      <c r="S41" s="126"/>
      <c r="T41" s="10"/>
      <c r="U41" s="10"/>
      <c r="V41" s="3"/>
      <c r="W41" s="3"/>
    </row>
    <row r="42" spans="1:23" ht="90" x14ac:dyDescent="0.25">
      <c r="A42">
        <v>39</v>
      </c>
      <c r="B42" s="108" t="s">
        <v>200</v>
      </c>
      <c r="C42" s="108" t="s">
        <v>202</v>
      </c>
      <c r="D42" s="53" t="s">
        <v>204</v>
      </c>
      <c r="E42" s="3" t="s">
        <v>33</v>
      </c>
      <c r="F42" s="3">
        <v>2624030095</v>
      </c>
      <c r="G42" s="77"/>
      <c r="H42" s="76">
        <v>1</v>
      </c>
      <c r="I42" s="3"/>
      <c r="J42" s="125"/>
      <c r="K42" s="125"/>
      <c r="L42" s="125"/>
      <c r="M42" s="125"/>
      <c r="N42" s="125"/>
      <c r="O42" s="125"/>
      <c r="P42" s="125"/>
      <c r="Q42" s="125"/>
      <c r="R42" s="125"/>
      <c r="S42" s="126"/>
      <c r="T42" s="10"/>
      <c r="U42" s="10"/>
      <c r="V42" s="3"/>
      <c r="W42" s="3"/>
    </row>
    <row r="43" spans="1:23" ht="60" x14ac:dyDescent="0.25">
      <c r="A43">
        <v>40</v>
      </c>
      <c r="B43" s="32" t="s">
        <v>212</v>
      </c>
      <c r="C43" s="32" t="s">
        <v>213</v>
      </c>
      <c r="D43" s="93" t="s">
        <v>214</v>
      </c>
      <c r="E43" s="3" t="s">
        <v>33</v>
      </c>
      <c r="F43" s="3">
        <v>2635134106</v>
      </c>
      <c r="G43" s="77"/>
      <c r="H43" s="76">
        <v>1</v>
      </c>
      <c r="I43" s="3"/>
      <c r="J43" s="125"/>
      <c r="K43" s="125"/>
      <c r="L43" s="125"/>
      <c r="M43" s="125"/>
      <c r="N43" s="125"/>
      <c r="O43" s="125"/>
      <c r="P43" s="125"/>
      <c r="Q43" s="125"/>
      <c r="R43" s="125"/>
      <c r="S43" s="126"/>
      <c r="T43" s="10"/>
      <c r="U43" s="10"/>
      <c r="V43" s="3"/>
      <c r="W43" s="3"/>
    </row>
    <row r="44" spans="1:23" ht="60" x14ac:dyDescent="0.25">
      <c r="A44">
        <v>41</v>
      </c>
      <c r="B44" s="32" t="s">
        <v>215</v>
      </c>
      <c r="C44" s="32" t="s">
        <v>217</v>
      </c>
      <c r="D44" s="93" t="s">
        <v>216</v>
      </c>
      <c r="E44" s="3"/>
      <c r="F44" s="3">
        <v>2636089294</v>
      </c>
      <c r="G44" s="77"/>
      <c r="H44" s="105">
        <v>7</v>
      </c>
      <c r="I44" s="3"/>
      <c r="J44" s="125"/>
      <c r="K44" s="125"/>
      <c r="L44" s="125"/>
      <c r="M44" s="125"/>
      <c r="N44" s="125"/>
      <c r="O44" s="125"/>
      <c r="P44" s="125"/>
      <c r="Q44" s="125"/>
      <c r="R44" s="125"/>
      <c r="S44" s="126"/>
      <c r="T44" s="10"/>
      <c r="U44" s="10"/>
      <c r="V44" s="3"/>
      <c r="W44" s="3"/>
    </row>
    <row r="45" spans="1:23" ht="60" x14ac:dyDescent="0.25">
      <c r="A45">
        <v>42</v>
      </c>
      <c r="B45" s="32" t="s">
        <v>223</v>
      </c>
      <c r="C45" s="32" t="s">
        <v>222</v>
      </c>
      <c r="D45" s="93" t="s">
        <v>221</v>
      </c>
      <c r="E45" s="3" t="s">
        <v>33</v>
      </c>
      <c r="F45" s="3">
        <v>2634803347</v>
      </c>
      <c r="G45" s="77"/>
      <c r="H45" s="76">
        <v>2</v>
      </c>
      <c r="I45" s="3"/>
      <c r="J45" s="125"/>
      <c r="K45" s="125"/>
      <c r="L45" s="125"/>
      <c r="M45" s="125"/>
      <c r="N45" s="125"/>
      <c r="O45" s="125"/>
      <c r="P45" s="125"/>
      <c r="Q45" s="125"/>
      <c r="R45" s="125"/>
      <c r="S45" s="126"/>
      <c r="T45" s="10"/>
      <c r="U45" s="10"/>
      <c r="V45" s="3"/>
      <c r="W45" s="3"/>
    </row>
    <row r="46" spans="1:23" ht="75" x14ac:dyDescent="0.25">
      <c r="A46">
        <v>43</v>
      </c>
      <c r="B46" s="108" t="s">
        <v>230</v>
      </c>
      <c r="C46" s="108" t="s">
        <v>232</v>
      </c>
      <c r="D46" s="93" t="s">
        <v>231</v>
      </c>
      <c r="E46" s="3" t="s">
        <v>33</v>
      </c>
      <c r="F46" s="3">
        <v>2624022344</v>
      </c>
      <c r="G46" s="77"/>
      <c r="H46" s="76">
        <v>2</v>
      </c>
      <c r="I46" s="3"/>
      <c r="J46" s="125"/>
      <c r="K46" s="125"/>
      <c r="L46" s="125"/>
      <c r="M46" s="125"/>
      <c r="N46" s="125"/>
      <c r="O46" s="125"/>
      <c r="P46" s="125"/>
      <c r="Q46" s="125"/>
      <c r="R46" s="125"/>
      <c r="S46" s="126"/>
      <c r="T46" s="10"/>
      <c r="U46" s="10"/>
      <c r="V46" s="3"/>
      <c r="W46" s="3"/>
    </row>
    <row r="47" spans="1:23" ht="60" x14ac:dyDescent="0.25">
      <c r="A47">
        <v>44</v>
      </c>
      <c r="B47" s="32" t="s">
        <v>236</v>
      </c>
      <c r="C47" s="32" t="s">
        <v>237</v>
      </c>
      <c r="D47" s="93" t="s">
        <v>238</v>
      </c>
      <c r="E47" s="3" t="s">
        <v>33</v>
      </c>
      <c r="F47" s="3">
        <v>2623018659</v>
      </c>
      <c r="G47" s="77"/>
      <c r="H47" s="76">
        <v>1</v>
      </c>
      <c r="I47" s="3"/>
      <c r="J47" s="125"/>
      <c r="K47" s="125"/>
      <c r="L47" s="125"/>
      <c r="M47" s="125"/>
      <c r="N47" s="125"/>
      <c r="O47" s="125"/>
      <c r="P47" s="125"/>
      <c r="Q47" s="125"/>
      <c r="R47" s="125"/>
      <c r="S47" s="126"/>
      <c r="T47" s="10"/>
      <c r="U47" s="10"/>
      <c r="V47" s="3"/>
      <c r="W47" s="3"/>
    </row>
    <row r="48" spans="1:23" ht="75" x14ac:dyDescent="0.25">
      <c r="A48">
        <v>45</v>
      </c>
      <c r="B48" s="100" t="s">
        <v>248</v>
      </c>
      <c r="C48" s="100" t="s">
        <v>250</v>
      </c>
      <c r="D48" s="93" t="s">
        <v>249</v>
      </c>
      <c r="E48" s="3" t="s">
        <v>33</v>
      </c>
      <c r="F48" s="3">
        <v>2607019503</v>
      </c>
      <c r="G48" s="3"/>
      <c r="H48" s="3">
        <v>8</v>
      </c>
      <c r="I48" s="3"/>
      <c r="J48" s="125"/>
      <c r="K48" s="125"/>
      <c r="L48" s="125"/>
      <c r="M48" s="125"/>
      <c r="N48" s="125"/>
      <c r="O48" s="125"/>
      <c r="P48" s="125"/>
      <c r="Q48" s="125"/>
      <c r="R48" s="125"/>
      <c r="S48" s="126"/>
      <c r="T48" s="10"/>
      <c r="U48" s="10"/>
      <c r="V48" s="3"/>
      <c r="W48" s="3"/>
    </row>
    <row r="49" spans="1:23" ht="75" x14ac:dyDescent="0.25">
      <c r="A49">
        <v>46</v>
      </c>
      <c r="B49" s="60" t="s">
        <v>271</v>
      </c>
      <c r="C49" s="107" t="s">
        <v>270</v>
      </c>
      <c r="D49" s="101" t="s">
        <v>272</v>
      </c>
      <c r="E49" s="3" t="s">
        <v>33</v>
      </c>
      <c r="F49" s="3">
        <v>2612017565</v>
      </c>
      <c r="G49" s="3"/>
      <c r="H49" s="10">
        <v>10</v>
      </c>
      <c r="I49" s="3"/>
      <c r="J49" s="125"/>
      <c r="K49" s="125"/>
      <c r="L49" s="125"/>
      <c r="M49" s="125"/>
      <c r="N49" s="125"/>
      <c r="O49" s="125"/>
      <c r="P49" s="125"/>
      <c r="Q49" s="125"/>
      <c r="R49" s="125"/>
      <c r="S49" s="126"/>
      <c r="T49" s="10"/>
      <c r="U49" s="10"/>
      <c r="V49" s="3"/>
      <c r="W49" s="3"/>
    </row>
    <row r="50" spans="1:23" ht="60" x14ac:dyDescent="0.25">
      <c r="A50">
        <v>47</v>
      </c>
      <c r="B50" s="14" t="s">
        <v>273</v>
      </c>
      <c r="C50" s="32" t="s">
        <v>285</v>
      </c>
      <c r="D50" s="93" t="s">
        <v>274</v>
      </c>
      <c r="E50" s="3" t="s">
        <v>33</v>
      </c>
      <c r="F50" s="3">
        <v>2635060581</v>
      </c>
      <c r="G50" s="3"/>
      <c r="H50" s="10">
        <v>2</v>
      </c>
      <c r="I50" s="3"/>
      <c r="J50" s="125"/>
      <c r="K50" s="125"/>
      <c r="L50" s="125"/>
      <c r="M50" s="125"/>
      <c r="N50" s="125"/>
      <c r="O50" s="125"/>
      <c r="P50" s="125"/>
      <c r="Q50" s="125"/>
      <c r="R50" s="125"/>
      <c r="S50" s="126"/>
      <c r="T50" s="10"/>
      <c r="U50" s="10"/>
      <c r="V50" s="3"/>
      <c r="W50" s="3"/>
    </row>
    <row r="51" spans="1:23" ht="60" x14ac:dyDescent="0.25">
      <c r="A51">
        <v>48</v>
      </c>
      <c r="B51" s="14" t="s">
        <v>279</v>
      </c>
      <c r="C51" s="32" t="s">
        <v>276</v>
      </c>
      <c r="D51" s="93" t="s">
        <v>275</v>
      </c>
      <c r="E51" s="3" t="s">
        <v>33</v>
      </c>
      <c r="F51" s="3">
        <v>2634063413</v>
      </c>
      <c r="G51" s="3"/>
      <c r="H51" s="10">
        <v>2</v>
      </c>
      <c r="I51" s="3"/>
      <c r="J51" s="125"/>
      <c r="K51" s="125"/>
      <c r="L51" s="125"/>
      <c r="M51" s="125"/>
      <c r="N51" s="125"/>
      <c r="O51" s="125"/>
      <c r="P51" s="125"/>
      <c r="Q51" s="125"/>
      <c r="R51" s="125"/>
      <c r="S51" s="126"/>
      <c r="T51" s="10"/>
      <c r="U51" s="10"/>
      <c r="V51" s="3"/>
      <c r="W51" s="3"/>
    </row>
    <row r="52" spans="1:23" ht="60" x14ac:dyDescent="0.25">
      <c r="A52">
        <v>49</v>
      </c>
      <c r="B52" s="14" t="s">
        <v>280</v>
      </c>
      <c r="C52" s="32" t="s">
        <v>278</v>
      </c>
      <c r="D52" s="93" t="s">
        <v>277</v>
      </c>
      <c r="E52" s="3" t="s">
        <v>33</v>
      </c>
      <c r="F52" s="3">
        <v>2635800236</v>
      </c>
      <c r="G52" s="3"/>
      <c r="H52" s="10">
        <v>1</v>
      </c>
      <c r="I52" s="3"/>
      <c r="J52" s="125"/>
      <c r="K52" s="125"/>
      <c r="L52" s="125"/>
      <c r="M52" s="125"/>
      <c r="N52" s="125"/>
      <c r="O52" s="125"/>
      <c r="P52" s="125"/>
      <c r="Q52" s="125"/>
      <c r="R52" s="125"/>
      <c r="S52" s="126"/>
      <c r="T52" s="10"/>
      <c r="U52" s="10"/>
      <c r="V52" s="3"/>
      <c r="W52" s="3"/>
    </row>
    <row r="53" spans="1:23" ht="75" x14ac:dyDescent="0.25">
      <c r="A53">
        <v>50</v>
      </c>
      <c r="B53" s="14" t="s">
        <v>281</v>
      </c>
      <c r="C53" s="32" t="s">
        <v>282</v>
      </c>
      <c r="D53" s="93" t="s">
        <v>283</v>
      </c>
      <c r="E53" s="3" t="s">
        <v>33</v>
      </c>
      <c r="F53" s="3">
        <v>2634093520</v>
      </c>
      <c r="G53" s="3"/>
      <c r="H53" s="10">
        <v>1</v>
      </c>
      <c r="I53" s="3"/>
      <c r="J53" s="125"/>
      <c r="K53" s="125"/>
      <c r="L53" s="125"/>
      <c r="M53" s="125"/>
      <c r="N53" s="125"/>
      <c r="O53" s="125"/>
      <c r="P53" s="125"/>
      <c r="Q53" s="125"/>
      <c r="R53" s="125"/>
      <c r="S53" s="126"/>
      <c r="T53" s="10"/>
      <c r="U53" s="10"/>
      <c r="V53" s="3"/>
      <c r="W53" s="3"/>
    </row>
    <row r="54" spans="1:23" ht="75" x14ac:dyDescent="0.25">
      <c r="A54">
        <v>51</v>
      </c>
      <c r="B54" s="88" t="s">
        <v>286</v>
      </c>
      <c r="C54" s="30" t="s">
        <v>287</v>
      </c>
      <c r="D54" s="93" t="s">
        <v>288</v>
      </c>
      <c r="E54" s="3" t="s">
        <v>33</v>
      </c>
      <c r="F54" s="3">
        <v>2610018813</v>
      </c>
      <c r="G54" s="3"/>
      <c r="H54" s="10">
        <v>1</v>
      </c>
      <c r="I54" s="3"/>
      <c r="J54" s="125"/>
      <c r="K54" s="125"/>
      <c r="L54" s="125"/>
      <c r="M54" s="125"/>
      <c r="N54" s="125"/>
      <c r="O54" s="125"/>
      <c r="P54" s="125"/>
      <c r="Q54" s="125"/>
      <c r="R54" s="125"/>
      <c r="S54" s="126"/>
      <c r="T54" s="10"/>
      <c r="U54" s="10"/>
      <c r="V54" s="3"/>
      <c r="W54" s="3"/>
    </row>
    <row r="55" spans="1:23" ht="60" x14ac:dyDescent="0.25">
      <c r="A55">
        <v>52</v>
      </c>
      <c r="B55" s="13" t="s">
        <v>293</v>
      </c>
      <c r="C55" s="28" t="s">
        <v>303</v>
      </c>
      <c r="D55" s="53" t="s">
        <v>294</v>
      </c>
      <c r="E55" s="3" t="s">
        <v>33</v>
      </c>
      <c r="F55" s="3">
        <v>2631028107</v>
      </c>
      <c r="G55" s="3"/>
      <c r="H55" s="3">
        <v>1</v>
      </c>
      <c r="I55" s="3"/>
      <c r="J55" s="125"/>
      <c r="K55" s="125"/>
      <c r="L55" s="125"/>
      <c r="M55" s="125"/>
      <c r="N55" s="125"/>
      <c r="O55" s="125"/>
      <c r="P55" s="125"/>
      <c r="Q55" s="125"/>
      <c r="R55" s="125"/>
      <c r="S55" s="126"/>
      <c r="T55" s="10"/>
      <c r="U55" s="10"/>
      <c r="V55" s="3"/>
      <c r="W55" s="3"/>
    </row>
    <row r="56" spans="1:23" ht="60" x14ac:dyDescent="0.25">
      <c r="A56">
        <v>53</v>
      </c>
      <c r="B56" s="110" t="s">
        <v>297</v>
      </c>
      <c r="C56" s="100" t="s">
        <v>302</v>
      </c>
      <c r="D56" s="101" t="s">
        <v>296</v>
      </c>
      <c r="E56" s="3" t="s">
        <v>33</v>
      </c>
      <c r="F56" s="3">
        <v>2608800357</v>
      </c>
      <c r="G56" s="3"/>
      <c r="H56" s="3">
        <v>1</v>
      </c>
      <c r="I56" s="3"/>
      <c r="J56" s="125"/>
      <c r="K56" s="125"/>
      <c r="L56" s="125"/>
      <c r="M56" s="125"/>
      <c r="N56" s="125"/>
      <c r="O56" s="125"/>
      <c r="P56" s="125"/>
      <c r="Q56" s="125"/>
      <c r="R56" s="125"/>
      <c r="S56" s="126"/>
      <c r="T56" s="10"/>
      <c r="U56" s="10"/>
      <c r="V56" s="3"/>
      <c r="W56" s="3"/>
    </row>
    <row r="57" spans="1:23" ht="45" x14ac:dyDescent="0.25">
      <c r="A57">
        <v>54</v>
      </c>
      <c r="B57" s="110" t="s">
        <v>304</v>
      </c>
      <c r="C57" s="100" t="s">
        <v>305</v>
      </c>
      <c r="D57" s="87" t="s">
        <v>306</v>
      </c>
      <c r="E57" s="3" t="s">
        <v>33</v>
      </c>
      <c r="F57" s="10">
        <v>2619009274</v>
      </c>
      <c r="G57" s="3"/>
      <c r="H57" s="3">
        <v>12</v>
      </c>
      <c r="I57" s="3"/>
      <c r="J57" s="125"/>
      <c r="K57" s="125"/>
      <c r="L57" s="125"/>
      <c r="M57" s="125"/>
      <c r="N57" s="125"/>
      <c r="O57" s="125"/>
      <c r="P57" s="125"/>
      <c r="Q57" s="125"/>
      <c r="R57" s="125"/>
      <c r="S57" s="126"/>
      <c r="T57" s="10"/>
      <c r="U57" s="10"/>
      <c r="V57" s="3"/>
      <c r="W57" s="3"/>
    </row>
    <row r="58" spans="1:23" ht="60" x14ac:dyDescent="0.25">
      <c r="A58">
        <v>55</v>
      </c>
      <c r="B58" s="14" t="s">
        <v>310</v>
      </c>
      <c r="C58" s="32" t="s">
        <v>311</v>
      </c>
      <c r="D58" s="87" t="s">
        <v>312</v>
      </c>
      <c r="E58" s="3" t="s">
        <v>33</v>
      </c>
      <c r="F58" s="3">
        <v>2636087924</v>
      </c>
      <c r="G58" s="3"/>
      <c r="H58" s="3">
        <v>1</v>
      </c>
      <c r="I58" s="3"/>
      <c r="J58" s="125"/>
      <c r="K58" s="125"/>
      <c r="L58" s="125"/>
      <c r="M58" s="125"/>
      <c r="N58" s="125"/>
      <c r="O58" s="125"/>
      <c r="P58" s="125"/>
      <c r="Q58" s="125"/>
      <c r="R58" s="125"/>
      <c r="S58" s="126"/>
      <c r="T58" s="10"/>
      <c r="U58" s="10"/>
      <c r="V58" s="3"/>
      <c r="W58" s="3"/>
    </row>
    <row r="59" spans="1:23" ht="75" x14ac:dyDescent="0.25">
      <c r="A59">
        <v>56</v>
      </c>
      <c r="B59" s="100" t="s">
        <v>298</v>
      </c>
      <c r="C59" s="100" t="s">
        <v>300</v>
      </c>
      <c r="D59" s="31" t="s">
        <v>313</v>
      </c>
      <c r="E59" s="3" t="s">
        <v>33</v>
      </c>
      <c r="F59" s="3">
        <v>2607018281</v>
      </c>
      <c r="G59" s="60">
        <v>2</v>
      </c>
      <c r="H59" s="3"/>
      <c r="I59" s="3"/>
      <c r="J59" s="125"/>
      <c r="K59" s="125"/>
      <c r="L59" s="125"/>
      <c r="M59" s="125"/>
      <c r="N59" s="125"/>
      <c r="O59" s="125"/>
      <c r="P59" s="125"/>
      <c r="Q59" s="125"/>
      <c r="R59" s="125"/>
      <c r="S59" s="126"/>
      <c r="T59" s="10"/>
      <c r="U59" s="10"/>
      <c r="V59" s="3"/>
      <c r="W59" s="3"/>
    </row>
    <row r="60" spans="1:23" ht="45" x14ac:dyDescent="0.25">
      <c r="A60">
        <v>57</v>
      </c>
      <c r="B60" s="14" t="s">
        <v>314</v>
      </c>
      <c r="C60" s="32" t="s">
        <v>315</v>
      </c>
      <c r="D60" s="87" t="s">
        <v>316</v>
      </c>
      <c r="E60" s="3" t="s">
        <v>33</v>
      </c>
      <c r="F60" s="3">
        <v>2634811299</v>
      </c>
      <c r="G60" s="3"/>
      <c r="H60" s="3">
        <v>2</v>
      </c>
      <c r="I60" s="3"/>
      <c r="J60" s="125"/>
      <c r="K60" s="125"/>
      <c r="L60" s="125"/>
      <c r="M60" s="125"/>
      <c r="N60" s="125"/>
      <c r="O60" s="125"/>
      <c r="P60" s="125"/>
      <c r="Q60" s="125"/>
      <c r="R60" s="125"/>
      <c r="S60" s="126"/>
      <c r="T60" s="10"/>
      <c r="U60" s="10"/>
      <c r="V60" s="3"/>
      <c r="W60" s="3"/>
    </row>
    <row r="61" spans="1:23" ht="60" x14ac:dyDescent="0.25">
      <c r="A61">
        <v>58</v>
      </c>
      <c r="B61" s="14" t="s">
        <v>317</v>
      </c>
      <c r="C61" s="32" t="s">
        <v>318</v>
      </c>
      <c r="D61" s="87" t="s">
        <v>319</v>
      </c>
      <c r="E61" s="3" t="s">
        <v>33</v>
      </c>
      <c r="F61" s="3">
        <v>2635805330</v>
      </c>
      <c r="G61" s="3"/>
      <c r="H61" s="3">
        <v>2</v>
      </c>
      <c r="I61" s="3"/>
      <c r="J61" s="125"/>
      <c r="K61" s="125"/>
      <c r="L61" s="125"/>
      <c r="M61" s="125"/>
      <c r="N61" s="125"/>
      <c r="O61" s="125"/>
      <c r="P61" s="125"/>
      <c r="Q61" s="125"/>
      <c r="R61" s="125"/>
      <c r="S61" s="126"/>
      <c r="T61" s="10"/>
      <c r="U61" s="10"/>
      <c r="V61" s="3"/>
      <c r="W61" s="3"/>
    </row>
    <row r="62" spans="1:23" ht="60" x14ac:dyDescent="0.25">
      <c r="A62">
        <v>59</v>
      </c>
      <c r="B62" s="14" t="s">
        <v>354</v>
      </c>
      <c r="C62" s="32" t="s">
        <v>320</v>
      </c>
      <c r="D62" s="87" t="s">
        <v>321</v>
      </c>
      <c r="E62" s="3" t="s">
        <v>33</v>
      </c>
      <c r="F62" s="3">
        <v>2634096433</v>
      </c>
      <c r="G62" s="3"/>
      <c r="H62" s="3">
        <v>1</v>
      </c>
      <c r="I62" s="3"/>
      <c r="J62" s="125"/>
      <c r="K62" s="125"/>
      <c r="L62" s="125"/>
      <c r="M62" s="125"/>
      <c r="N62" s="125"/>
      <c r="O62" s="125"/>
      <c r="P62" s="125"/>
      <c r="Q62" s="125"/>
      <c r="R62" s="125"/>
      <c r="S62" s="126"/>
      <c r="T62" s="10"/>
      <c r="U62" s="10"/>
      <c r="V62" s="3"/>
      <c r="W62" s="3"/>
    </row>
    <row r="63" spans="1:23" ht="30" x14ac:dyDescent="0.25">
      <c r="A63">
        <v>60</v>
      </c>
      <c r="B63" s="19" t="s">
        <v>322</v>
      </c>
      <c r="C63" s="21" t="s">
        <v>323</v>
      </c>
      <c r="D63" s="87" t="s">
        <v>324</v>
      </c>
      <c r="E63" s="3" t="s">
        <v>33</v>
      </c>
      <c r="F63" s="76">
        <v>910200227313</v>
      </c>
      <c r="G63" s="3"/>
      <c r="H63" s="3">
        <v>2</v>
      </c>
      <c r="I63" s="3"/>
      <c r="J63" s="125"/>
      <c r="K63" s="125"/>
      <c r="L63" s="125"/>
      <c r="M63" s="125"/>
      <c r="N63" s="125"/>
      <c r="O63" s="125"/>
      <c r="P63" s="125"/>
      <c r="Q63" s="125"/>
      <c r="R63" s="125"/>
      <c r="S63" s="126"/>
      <c r="T63" s="10"/>
      <c r="U63" s="10"/>
      <c r="V63" s="3"/>
      <c r="W63" s="3"/>
    </row>
    <row r="64" spans="1:23" ht="30" x14ac:dyDescent="0.25">
      <c r="A64">
        <v>61</v>
      </c>
      <c r="B64" s="19" t="s">
        <v>325</v>
      </c>
      <c r="C64" s="21" t="s">
        <v>326</v>
      </c>
      <c r="D64" s="87" t="s">
        <v>327</v>
      </c>
      <c r="E64" s="3" t="s">
        <v>33</v>
      </c>
      <c r="F64" s="76">
        <v>910200227634</v>
      </c>
      <c r="G64" s="3"/>
      <c r="H64" s="3">
        <v>1</v>
      </c>
      <c r="I64" s="3"/>
      <c r="J64" s="125"/>
      <c r="K64" s="125"/>
      <c r="L64" s="125"/>
      <c r="M64" s="125"/>
      <c r="N64" s="125"/>
      <c r="O64" s="125"/>
      <c r="P64" s="125"/>
      <c r="Q64" s="125"/>
      <c r="R64" s="125"/>
      <c r="S64" s="126"/>
      <c r="T64" s="10"/>
      <c r="U64" s="10"/>
      <c r="V64" s="3"/>
      <c r="W64" s="3"/>
    </row>
    <row r="65" spans="1:23" ht="30" x14ac:dyDescent="0.25">
      <c r="A65">
        <v>62</v>
      </c>
      <c r="B65" s="19" t="s">
        <v>328</v>
      </c>
      <c r="C65" s="21" t="s">
        <v>329</v>
      </c>
      <c r="D65" s="87" t="s">
        <v>330</v>
      </c>
      <c r="E65" s="3" t="s">
        <v>33</v>
      </c>
      <c r="F65" s="76">
        <v>911102219002</v>
      </c>
      <c r="G65" s="3"/>
      <c r="H65" s="3">
        <v>1</v>
      </c>
      <c r="I65" s="3"/>
      <c r="J65" s="125"/>
      <c r="K65" s="125"/>
      <c r="L65" s="125"/>
      <c r="M65" s="125"/>
      <c r="N65" s="125"/>
      <c r="O65" s="125"/>
      <c r="P65" s="125"/>
      <c r="Q65" s="125"/>
      <c r="R65" s="125"/>
      <c r="S65" s="126"/>
      <c r="T65" s="10"/>
      <c r="U65" s="10"/>
      <c r="V65" s="3"/>
      <c r="W65" s="3"/>
    </row>
    <row r="66" spans="1:23" ht="30" x14ac:dyDescent="0.25">
      <c r="A66">
        <v>63</v>
      </c>
      <c r="B66" s="19" t="s">
        <v>331</v>
      </c>
      <c r="C66" s="21" t="s">
        <v>332</v>
      </c>
      <c r="D66" s="87" t="s">
        <v>333</v>
      </c>
      <c r="E66" s="3" t="s">
        <v>33</v>
      </c>
      <c r="F66" s="76">
        <v>9102040305</v>
      </c>
      <c r="G66" s="3"/>
      <c r="H66" s="3">
        <v>5</v>
      </c>
      <c r="I66" s="3"/>
      <c r="J66" s="125"/>
      <c r="K66" s="125"/>
      <c r="L66" s="125"/>
      <c r="M66" s="125"/>
      <c r="N66" s="125"/>
      <c r="O66" s="125"/>
      <c r="P66" s="125"/>
      <c r="Q66" s="125"/>
      <c r="R66" s="125"/>
      <c r="S66" s="126"/>
      <c r="T66" s="10"/>
      <c r="U66" s="10"/>
      <c r="V66" s="3"/>
      <c r="W66" s="3"/>
    </row>
    <row r="67" spans="1:23" ht="30" x14ac:dyDescent="0.25">
      <c r="A67">
        <v>64</v>
      </c>
      <c r="B67" s="19" t="s">
        <v>334</v>
      </c>
      <c r="C67" s="21" t="s">
        <v>335</v>
      </c>
      <c r="D67" s="87" t="s">
        <v>336</v>
      </c>
      <c r="E67" s="3" t="s">
        <v>33</v>
      </c>
      <c r="F67" s="76">
        <v>910206019302</v>
      </c>
      <c r="G67" s="3"/>
      <c r="H67" s="3">
        <v>1</v>
      </c>
      <c r="I67" s="3"/>
      <c r="J67" s="125"/>
      <c r="K67" s="125"/>
      <c r="L67" s="125"/>
      <c r="M67" s="125"/>
      <c r="N67" s="125"/>
      <c r="O67" s="125"/>
      <c r="P67" s="125"/>
      <c r="Q67" s="125"/>
      <c r="R67" s="125"/>
      <c r="S67" s="126"/>
      <c r="T67" s="10"/>
      <c r="U67" s="10"/>
      <c r="V67" s="3"/>
      <c r="W67" s="3"/>
    </row>
    <row r="68" spans="1:23" ht="60" x14ac:dyDescent="0.25">
      <c r="A68">
        <v>65</v>
      </c>
      <c r="B68" s="110" t="s">
        <v>337</v>
      </c>
      <c r="C68" s="100" t="s">
        <v>338</v>
      </c>
      <c r="D68" s="87" t="s">
        <v>339</v>
      </c>
      <c r="E68" s="3" t="s">
        <v>33</v>
      </c>
      <c r="F68" s="3">
        <v>7709239289</v>
      </c>
      <c r="G68" s="3"/>
      <c r="H68" s="3">
        <v>2</v>
      </c>
      <c r="I68" s="3"/>
      <c r="J68" s="125"/>
      <c r="K68" s="125"/>
      <c r="L68" s="125"/>
      <c r="M68" s="125"/>
      <c r="N68" s="125"/>
      <c r="O68" s="125"/>
      <c r="P68" s="125"/>
      <c r="Q68" s="125"/>
      <c r="R68" s="125"/>
      <c r="S68" s="126"/>
      <c r="T68" s="10"/>
      <c r="U68" s="10"/>
      <c r="V68" s="3"/>
      <c r="W68" s="3"/>
    </row>
    <row r="69" spans="1:23" ht="75" x14ac:dyDescent="0.25">
      <c r="A69">
        <v>66</v>
      </c>
      <c r="B69" s="100" t="s">
        <v>340</v>
      </c>
      <c r="C69" s="100" t="s">
        <v>341</v>
      </c>
      <c r="D69" s="87" t="s">
        <v>342</v>
      </c>
      <c r="E69" s="3" t="s">
        <v>33</v>
      </c>
      <c r="F69" s="3">
        <v>2614018081</v>
      </c>
      <c r="G69" s="3"/>
      <c r="H69" s="3">
        <v>1</v>
      </c>
      <c r="I69" s="3"/>
      <c r="J69" s="125"/>
      <c r="K69" s="125"/>
      <c r="L69" s="125"/>
      <c r="M69" s="125"/>
      <c r="N69" s="125"/>
      <c r="O69" s="125"/>
      <c r="P69" s="125"/>
      <c r="Q69" s="125"/>
      <c r="R69" s="125"/>
      <c r="S69" s="126"/>
      <c r="T69" s="10"/>
      <c r="U69" s="10"/>
      <c r="V69" s="3"/>
      <c r="W69" s="3"/>
    </row>
    <row r="70" spans="1:23" ht="75" x14ac:dyDescent="0.25">
      <c r="A70">
        <v>67</v>
      </c>
      <c r="B70" s="32" t="s">
        <v>343</v>
      </c>
      <c r="C70" s="32" t="s">
        <v>345</v>
      </c>
      <c r="D70" s="108" t="s">
        <v>344</v>
      </c>
      <c r="E70" s="3" t="s">
        <v>33</v>
      </c>
      <c r="F70" s="3">
        <v>2623015062</v>
      </c>
      <c r="G70" s="3"/>
      <c r="H70" s="3">
        <v>3</v>
      </c>
      <c r="I70" s="3"/>
      <c r="J70" s="125"/>
      <c r="K70" s="125"/>
      <c r="L70" s="125"/>
      <c r="M70" s="125"/>
      <c r="N70" s="125"/>
      <c r="O70" s="125"/>
      <c r="P70" s="125"/>
      <c r="Q70" s="125"/>
      <c r="R70" s="125"/>
      <c r="S70" s="126"/>
      <c r="T70" s="10"/>
      <c r="U70" s="10"/>
      <c r="V70" s="3"/>
      <c r="W70" s="3"/>
    </row>
    <row r="71" spans="1:23" ht="68.25" customHeight="1" x14ac:dyDescent="0.25">
      <c r="A71">
        <v>68</v>
      </c>
      <c r="B71" s="28" t="s">
        <v>347</v>
      </c>
      <c r="C71" s="28" t="s">
        <v>348</v>
      </c>
      <c r="D71" s="87" t="s">
        <v>349</v>
      </c>
      <c r="E71" s="3" t="s">
        <v>33</v>
      </c>
      <c r="F71" s="3">
        <v>2631030603</v>
      </c>
      <c r="G71" s="3"/>
      <c r="H71" s="3">
        <v>3</v>
      </c>
      <c r="I71" s="3"/>
      <c r="J71" s="125"/>
      <c r="K71" s="125"/>
      <c r="L71" s="125"/>
      <c r="M71" s="125"/>
      <c r="N71" s="125"/>
      <c r="O71" s="125"/>
      <c r="P71" s="125"/>
      <c r="Q71" s="125"/>
      <c r="R71" s="125"/>
      <c r="S71" s="129"/>
      <c r="T71" s="97"/>
      <c r="U71" s="97"/>
      <c r="V71" s="3"/>
      <c r="W71" s="3"/>
    </row>
    <row r="72" spans="1:23" ht="73.5" customHeight="1" x14ac:dyDescent="0.25">
      <c r="A72">
        <v>69</v>
      </c>
      <c r="B72" s="100" t="s">
        <v>350</v>
      </c>
      <c r="C72" s="100" t="s">
        <v>353</v>
      </c>
      <c r="D72" s="87" t="s">
        <v>352</v>
      </c>
      <c r="E72" s="3" t="s">
        <v>33</v>
      </c>
      <c r="F72" s="3">
        <v>2617012810</v>
      </c>
      <c r="G72" s="3"/>
      <c r="H72" s="3">
        <v>2</v>
      </c>
      <c r="I72" s="3"/>
      <c r="J72" s="125"/>
      <c r="K72" s="125"/>
      <c r="L72" s="125"/>
      <c r="M72" s="125"/>
      <c r="N72" s="125"/>
      <c r="O72" s="125"/>
      <c r="P72" s="125"/>
      <c r="Q72" s="125"/>
      <c r="R72" s="125"/>
      <c r="S72" s="129"/>
      <c r="T72" s="97"/>
      <c r="U72" s="97"/>
      <c r="V72" s="3"/>
      <c r="W72" s="3"/>
    </row>
    <row r="73" spans="1:23" ht="75" x14ac:dyDescent="0.25">
      <c r="A73">
        <v>70</v>
      </c>
      <c r="B73" s="32" t="s">
        <v>182</v>
      </c>
      <c r="C73" s="32" t="s">
        <v>187</v>
      </c>
      <c r="D73" s="53" t="s">
        <v>183</v>
      </c>
      <c r="E73" s="3" t="s">
        <v>33</v>
      </c>
      <c r="F73" s="3">
        <v>2635070950</v>
      </c>
      <c r="G73" s="77"/>
      <c r="H73" s="76">
        <v>13</v>
      </c>
      <c r="I73" s="3"/>
      <c r="J73" s="125"/>
      <c r="K73" s="125"/>
      <c r="L73" s="125"/>
      <c r="M73" s="125"/>
      <c r="N73" s="125"/>
      <c r="O73" s="125"/>
      <c r="P73" s="125"/>
      <c r="Q73" s="125"/>
      <c r="R73" s="125"/>
      <c r="S73" s="126"/>
      <c r="T73" s="10"/>
      <c r="U73" s="10"/>
      <c r="V73" s="3"/>
      <c r="W73" s="3"/>
    </row>
    <row r="74" spans="1:23" ht="45" x14ac:dyDescent="0.25">
      <c r="A74">
        <v>71</v>
      </c>
      <c r="B74" s="32" t="s">
        <v>355</v>
      </c>
      <c r="C74" s="32" t="s">
        <v>356</v>
      </c>
      <c r="D74" s="31" t="s">
        <v>357</v>
      </c>
      <c r="E74" s="3" t="s">
        <v>33</v>
      </c>
      <c r="F74" s="3">
        <v>2635089936</v>
      </c>
      <c r="G74" s="77"/>
      <c r="H74" s="76">
        <v>4</v>
      </c>
      <c r="I74" s="3"/>
      <c r="J74" s="125"/>
      <c r="K74" s="125"/>
      <c r="L74" s="125"/>
      <c r="M74" s="125"/>
      <c r="N74" s="125"/>
      <c r="O74" s="125"/>
      <c r="P74" s="125"/>
      <c r="Q74" s="125"/>
      <c r="R74" s="125"/>
      <c r="S74" s="126"/>
      <c r="T74" s="10"/>
      <c r="U74" s="10"/>
      <c r="V74" s="3"/>
      <c r="W74" s="3"/>
    </row>
    <row r="75" spans="1:23" ht="45" x14ac:dyDescent="0.25">
      <c r="A75">
        <v>72</v>
      </c>
      <c r="B75" s="100" t="s">
        <v>358</v>
      </c>
      <c r="C75" s="100" t="s">
        <v>359</v>
      </c>
      <c r="D75" s="87" t="s">
        <v>360</v>
      </c>
      <c r="E75" s="3" t="s">
        <v>33</v>
      </c>
      <c r="F75" s="3">
        <v>2607011977</v>
      </c>
      <c r="G75" s="77"/>
      <c r="H75" s="76">
        <v>2</v>
      </c>
      <c r="I75" s="3"/>
      <c r="J75" s="125"/>
      <c r="K75" s="125"/>
      <c r="L75" s="125"/>
      <c r="M75" s="125"/>
      <c r="N75" s="125"/>
      <c r="O75" s="125"/>
      <c r="P75" s="125"/>
      <c r="Q75" s="125"/>
      <c r="R75" s="125"/>
      <c r="S75" s="126"/>
      <c r="T75" s="10"/>
      <c r="U75" s="10"/>
      <c r="V75" s="3"/>
      <c r="W75" s="3"/>
    </row>
    <row r="76" spans="1:23" ht="45" x14ac:dyDescent="0.25">
      <c r="A76">
        <v>73</v>
      </c>
      <c r="B76" s="100" t="s">
        <v>361</v>
      </c>
      <c r="C76" s="100" t="s">
        <v>362</v>
      </c>
      <c r="D76" s="87" t="s">
        <v>363</v>
      </c>
      <c r="E76" s="3" t="s">
        <v>33</v>
      </c>
      <c r="F76" s="3">
        <v>2607016132</v>
      </c>
      <c r="G76" s="77"/>
      <c r="H76" s="76">
        <v>2</v>
      </c>
      <c r="I76" s="3"/>
      <c r="J76" s="125"/>
      <c r="K76" s="125"/>
      <c r="L76" s="125"/>
      <c r="M76" s="125"/>
      <c r="N76" s="125"/>
      <c r="O76" s="125"/>
      <c r="P76" s="125"/>
      <c r="Q76" s="125"/>
      <c r="R76" s="125"/>
      <c r="S76" s="126"/>
      <c r="T76" s="10"/>
      <c r="U76" s="10"/>
      <c r="V76" s="3"/>
      <c r="W76" s="3"/>
    </row>
    <row r="77" spans="1:23" ht="60" x14ac:dyDescent="0.25">
      <c r="A77">
        <v>74</v>
      </c>
      <c r="B77" s="3" t="s">
        <v>307</v>
      </c>
      <c r="C77" s="22" t="s">
        <v>308</v>
      </c>
      <c r="D77" s="87" t="s">
        <v>309</v>
      </c>
      <c r="E77" s="3" t="s">
        <v>33</v>
      </c>
      <c r="F77" s="3">
        <v>2604000303</v>
      </c>
      <c r="G77" s="3"/>
      <c r="H77" s="104">
        <v>7</v>
      </c>
      <c r="I77" s="3"/>
      <c r="J77" s="125"/>
      <c r="K77" s="125"/>
      <c r="L77" s="125"/>
      <c r="M77" s="125"/>
      <c r="N77" s="125"/>
      <c r="O77" s="125"/>
      <c r="P77" s="125"/>
      <c r="Q77" s="125"/>
      <c r="R77" s="125"/>
      <c r="S77" s="126"/>
      <c r="T77" s="10"/>
      <c r="U77" s="10"/>
      <c r="V77" s="3"/>
      <c r="W77" s="3"/>
    </row>
    <row r="78" spans="1:23" ht="60" x14ac:dyDescent="0.25">
      <c r="A78">
        <v>75</v>
      </c>
      <c r="B78" s="100" t="s">
        <v>365</v>
      </c>
      <c r="C78" s="100" t="s">
        <v>366</v>
      </c>
      <c r="D78" s="31" t="s">
        <v>367</v>
      </c>
      <c r="E78" s="3" t="s">
        <v>33</v>
      </c>
      <c r="F78" s="3">
        <v>2608003721</v>
      </c>
      <c r="G78" s="77"/>
      <c r="H78" s="76">
        <v>16</v>
      </c>
      <c r="I78" s="3"/>
      <c r="J78" s="125"/>
      <c r="K78" s="125"/>
      <c r="L78" s="125"/>
      <c r="M78" s="125"/>
      <c r="N78" s="125"/>
      <c r="O78" s="125"/>
      <c r="P78" s="125"/>
      <c r="Q78" s="125"/>
      <c r="R78" s="125"/>
      <c r="S78" s="126"/>
      <c r="T78" s="10"/>
      <c r="U78" s="10"/>
      <c r="V78" s="3"/>
      <c r="W78" s="3"/>
    </row>
    <row r="79" spans="1:23" ht="60" x14ac:dyDescent="0.25">
      <c r="A79">
        <v>76</v>
      </c>
      <c r="B79" s="100" t="s">
        <v>368</v>
      </c>
      <c r="C79" s="100" t="s">
        <v>369</v>
      </c>
      <c r="D79" s="31" t="s">
        <v>370</v>
      </c>
      <c r="E79" s="3" t="s">
        <v>33</v>
      </c>
      <c r="F79" s="3">
        <v>2611005503</v>
      </c>
      <c r="G79" s="77"/>
      <c r="H79" s="76">
        <v>8</v>
      </c>
      <c r="I79" s="3"/>
      <c r="J79" s="125"/>
      <c r="K79" s="125"/>
      <c r="L79" s="125"/>
      <c r="M79" s="125"/>
      <c r="N79" s="125"/>
      <c r="O79" s="125"/>
      <c r="P79" s="125"/>
      <c r="Q79" s="125"/>
      <c r="R79" s="125"/>
      <c r="S79" s="126"/>
      <c r="T79" s="10"/>
      <c r="U79" s="10"/>
      <c r="V79" s="3"/>
      <c r="W79" s="3"/>
    </row>
    <row r="80" spans="1:23" ht="45" x14ac:dyDescent="0.25">
      <c r="A80">
        <v>77</v>
      </c>
      <c r="B80" s="32" t="s">
        <v>209</v>
      </c>
      <c r="C80" s="32" t="s">
        <v>210</v>
      </c>
      <c r="D80" s="93" t="s">
        <v>371</v>
      </c>
      <c r="E80" s="3" t="s">
        <v>33</v>
      </c>
      <c r="F80" s="3">
        <v>2633005289</v>
      </c>
      <c r="G80" s="77"/>
      <c r="H80" s="76">
        <v>15</v>
      </c>
      <c r="I80" s="3"/>
      <c r="J80" s="125"/>
      <c r="K80" s="125"/>
      <c r="L80" s="125"/>
      <c r="M80" s="125"/>
      <c r="N80" s="125"/>
      <c r="O80" s="125"/>
      <c r="P80" s="125"/>
      <c r="Q80" s="125"/>
      <c r="R80" s="125"/>
      <c r="S80" s="126"/>
      <c r="T80" s="10"/>
      <c r="U80" s="10"/>
      <c r="V80" s="3"/>
      <c r="W80" s="3"/>
    </row>
    <row r="81" spans="1:23" ht="60" x14ac:dyDescent="0.25">
      <c r="A81">
        <v>78</v>
      </c>
      <c r="B81" s="32" t="s">
        <v>372</v>
      </c>
      <c r="C81" s="32" t="s">
        <v>373</v>
      </c>
      <c r="D81" s="87" t="s">
        <v>374</v>
      </c>
      <c r="E81" s="3" t="s">
        <v>33</v>
      </c>
      <c r="F81" s="3">
        <v>2636810075</v>
      </c>
      <c r="G81" s="77"/>
      <c r="H81" s="76">
        <v>1</v>
      </c>
      <c r="I81" s="3"/>
      <c r="J81" s="125"/>
      <c r="K81" s="125"/>
      <c r="L81" s="125"/>
      <c r="M81" s="125"/>
      <c r="N81" s="125"/>
      <c r="O81" s="125"/>
      <c r="P81" s="125"/>
      <c r="Q81" s="125"/>
      <c r="R81" s="125"/>
      <c r="S81" s="126"/>
      <c r="T81" s="10"/>
      <c r="U81" s="10"/>
      <c r="V81" s="3"/>
      <c r="W81" s="3"/>
    </row>
    <row r="82" spans="1:23" ht="75" x14ac:dyDescent="0.25">
      <c r="A82">
        <v>79</v>
      </c>
      <c r="B82" s="100" t="s">
        <v>375</v>
      </c>
      <c r="C82" s="100" t="s">
        <v>376</v>
      </c>
      <c r="D82" s="31" t="s">
        <v>377</v>
      </c>
      <c r="E82" s="3" t="s">
        <v>33</v>
      </c>
      <c r="F82" s="3">
        <v>2617002354</v>
      </c>
      <c r="G82" s="77"/>
      <c r="H82" s="76">
        <v>1</v>
      </c>
      <c r="I82" s="3"/>
      <c r="J82" s="125"/>
      <c r="K82" s="125"/>
      <c r="L82" s="125"/>
      <c r="M82" s="125"/>
      <c r="N82" s="125"/>
      <c r="O82" s="125"/>
      <c r="P82" s="125"/>
      <c r="Q82" s="125"/>
      <c r="R82" s="125"/>
      <c r="S82" s="126"/>
      <c r="T82" s="10"/>
      <c r="U82" s="10"/>
      <c r="V82" s="3"/>
      <c r="W82" s="3"/>
    </row>
    <row r="83" spans="1:23" ht="75" x14ac:dyDescent="0.25">
      <c r="A83">
        <v>80</v>
      </c>
      <c r="B83" s="32" t="s">
        <v>224</v>
      </c>
      <c r="C83" s="32" t="s">
        <v>225</v>
      </c>
      <c r="D83" s="93" t="s">
        <v>380</v>
      </c>
      <c r="E83" s="3" t="s">
        <v>33</v>
      </c>
      <c r="F83" s="3">
        <v>2633001950</v>
      </c>
      <c r="G83" s="77"/>
      <c r="H83" s="76"/>
      <c r="I83" s="3">
        <v>17</v>
      </c>
      <c r="J83" s="125"/>
      <c r="K83" s="125"/>
      <c r="L83" s="125"/>
      <c r="M83" s="125"/>
      <c r="N83" s="125"/>
      <c r="O83" s="125"/>
      <c r="P83" s="125"/>
      <c r="Q83" s="125"/>
      <c r="R83" s="125"/>
      <c r="S83" s="126"/>
      <c r="T83" s="10"/>
      <c r="U83" s="10"/>
      <c r="V83" s="3"/>
      <c r="W83" s="3"/>
    </row>
    <row r="84" spans="1:23" ht="24" customHeight="1" x14ac:dyDescent="0.25">
      <c r="A84" s="450">
        <v>81</v>
      </c>
      <c r="B84" s="451" t="s">
        <v>251</v>
      </c>
      <c r="C84" s="454" t="s">
        <v>252</v>
      </c>
      <c r="D84" s="457" t="s">
        <v>381</v>
      </c>
      <c r="E84" s="447" t="s">
        <v>33</v>
      </c>
      <c r="F84" s="447">
        <v>2617009102</v>
      </c>
      <c r="G84" s="460" t="s">
        <v>382</v>
      </c>
      <c r="H84" s="435"/>
      <c r="I84" s="435">
        <v>15</v>
      </c>
      <c r="J84" s="125"/>
      <c r="K84" s="125"/>
      <c r="L84" s="125"/>
      <c r="M84" s="125"/>
      <c r="N84" s="125"/>
      <c r="O84" s="125"/>
      <c r="P84" s="125"/>
      <c r="Q84" s="125"/>
      <c r="R84" s="125"/>
      <c r="S84" s="126"/>
      <c r="T84" s="10"/>
      <c r="U84" s="10"/>
      <c r="V84" s="3"/>
      <c r="W84" s="3"/>
    </row>
    <row r="85" spans="1:23" ht="29.25" customHeight="1" x14ac:dyDescent="0.25">
      <c r="A85" s="450"/>
      <c r="B85" s="452"/>
      <c r="C85" s="455"/>
      <c r="D85" s="458"/>
      <c r="E85" s="448"/>
      <c r="F85" s="448"/>
      <c r="G85" s="461"/>
      <c r="H85" s="436"/>
      <c r="I85" s="436"/>
      <c r="J85" s="125"/>
      <c r="K85" s="125"/>
      <c r="L85" s="125"/>
      <c r="M85" s="125"/>
      <c r="N85" s="125"/>
      <c r="O85" s="125"/>
      <c r="P85" s="125"/>
      <c r="Q85" s="125"/>
      <c r="R85" s="125"/>
      <c r="S85" s="126"/>
      <c r="T85" s="10"/>
      <c r="U85" s="10"/>
      <c r="V85" s="3"/>
      <c r="W85" s="3"/>
    </row>
    <row r="86" spans="1:23" ht="34.5" customHeight="1" x14ac:dyDescent="0.25">
      <c r="A86" s="450"/>
      <c r="B86" s="453"/>
      <c r="C86" s="456"/>
      <c r="D86" s="459"/>
      <c r="E86" s="449"/>
      <c r="F86" s="449"/>
      <c r="G86" s="462"/>
      <c r="H86" s="437"/>
      <c r="I86" s="437"/>
      <c r="J86" s="125"/>
      <c r="K86" s="125"/>
      <c r="L86" s="125"/>
      <c r="M86" s="125"/>
      <c r="N86" s="125"/>
      <c r="O86" s="125"/>
      <c r="P86" s="125"/>
      <c r="Q86" s="125"/>
      <c r="R86" s="125"/>
      <c r="S86" s="126"/>
      <c r="T86" s="10"/>
      <c r="U86" s="10"/>
      <c r="V86" s="3"/>
      <c r="W86" s="3"/>
    </row>
    <row r="87" spans="1:23" ht="75" x14ac:dyDescent="0.25">
      <c r="A87">
        <v>82</v>
      </c>
      <c r="B87" s="100" t="s">
        <v>383</v>
      </c>
      <c r="C87" s="100" t="s">
        <v>384</v>
      </c>
      <c r="D87" s="87" t="s">
        <v>385</v>
      </c>
      <c r="E87" s="3" t="s">
        <v>33</v>
      </c>
      <c r="F87" s="3">
        <v>2602004461</v>
      </c>
      <c r="G87" s="116"/>
      <c r="H87" s="76"/>
      <c r="I87" s="76">
        <v>8</v>
      </c>
      <c r="J87" s="125"/>
      <c r="K87" s="125"/>
      <c r="L87" s="125"/>
      <c r="M87" s="125"/>
      <c r="N87" s="125"/>
      <c r="O87" s="125"/>
      <c r="P87" s="125"/>
      <c r="Q87" s="125"/>
      <c r="R87" s="125"/>
      <c r="S87" s="126"/>
      <c r="T87" s="10"/>
      <c r="U87" s="10"/>
      <c r="V87" s="3"/>
      <c r="W87" s="3"/>
    </row>
    <row r="88" spans="1:23" ht="60" x14ac:dyDescent="0.25">
      <c r="A88">
        <v>83</v>
      </c>
      <c r="B88" s="32" t="s">
        <v>387</v>
      </c>
      <c r="C88" s="32" t="s">
        <v>388</v>
      </c>
      <c r="D88" s="108" t="s">
        <v>398</v>
      </c>
      <c r="E88" s="3" t="s">
        <v>33</v>
      </c>
      <c r="F88" s="3">
        <v>2635077200</v>
      </c>
      <c r="G88" s="116"/>
      <c r="H88" s="76"/>
      <c r="I88" s="76">
        <v>12</v>
      </c>
      <c r="J88" s="125"/>
      <c r="K88" s="125"/>
      <c r="L88" s="125"/>
      <c r="M88" s="125"/>
      <c r="N88" s="125"/>
      <c r="O88" s="125"/>
      <c r="P88" s="125"/>
      <c r="Q88" s="125"/>
      <c r="R88" s="125"/>
      <c r="S88" s="126"/>
      <c r="T88" s="10"/>
      <c r="U88" s="10"/>
      <c r="V88" s="3"/>
      <c r="W88" s="3"/>
    </row>
    <row r="89" spans="1:23" ht="60" x14ac:dyDescent="0.25">
      <c r="A89">
        <v>84</v>
      </c>
      <c r="B89" s="32" t="s">
        <v>390</v>
      </c>
      <c r="C89" s="32" t="s">
        <v>391</v>
      </c>
      <c r="D89" s="87" t="s">
        <v>392</v>
      </c>
      <c r="E89" s="3" t="s">
        <v>33</v>
      </c>
      <c r="F89" s="3">
        <v>2634813553</v>
      </c>
      <c r="G89" s="77"/>
      <c r="H89" s="76">
        <v>2</v>
      </c>
      <c r="I89" s="76"/>
      <c r="J89" s="125"/>
      <c r="K89" s="125"/>
      <c r="L89" s="125"/>
      <c r="M89" s="125"/>
      <c r="N89" s="125"/>
      <c r="O89" s="125"/>
      <c r="P89" s="125"/>
      <c r="Q89" s="125"/>
      <c r="R89" s="125"/>
      <c r="S89" s="126"/>
      <c r="T89" s="10"/>
      <c r="U89" s="10"/>
      <c r="V89" s="3"/>
      <c r="W89" s="3"/>
    </row>
    <row r="90" spans="1:23" ht="75" x14ac:dyDescent="0.25">
      <c r="A90">
        <v>85</v>
      </c>
      <c r="B90" s="100" t="s">
        <v>393</v>
      </c>
      <c r="C90" s="100" t="s">
        <v>394</v>
      </c>
      <c r="D90" s="31" t="s">
        <v>395</v>
      </c>
      <c r="E90" s="3" t="s">
        <v>33</v>
      </c>
      <c r="F90" s="3">
        <v>2606007110</v>
      </c>
      <c r="G90" s="77"/>
      <c r="H90" s="76"/>
      <c r="I90" s="76">
        <v>9</v>
      </c>
      <c r="J90" s="125"/>
      <c r="K90" s="125"/>
      <c r="L90" s="125"/>
      <c r="M90" s="125"/>
      <c r="N90" s="125"/>
      <c r="O90" s="125"/>
      <c r="P90" s="125"/>
      <c r="Q90" s="125"/>
      <c r="R90" s="125"/>
      <c r="S90" s="126"/>
      <c r="T90" s="10"/>
      <c r="U90" s="10"/>
      <c r="V90" s="3"/>
      <c r="W90" s="3"/>
    </row>
    <row r="91" spans="1:23" ht="60" x14ac:dyDescent="0.25">
      <c r="A91">
        <v>86</v>
      </c>
      <c r="B91" s="32" t="s">
        <v>233</v>
      </c>
      <c r="C91" s="32" t="s">
        <v>397</v>
      </c>
      <c r="D91" s="101" t="s">
        <v>396</v>
      </c>
      <c r="E91" s="3" t="s">
        <v>33</v>
      </c>
      <c r="F91" s="10">
        <v>2633002721</v>
      </c>
      <c r="G91" s="77"/>
      <c r="H91" s="76"/>
      <c r="I91" s="76">
        <v>10</v>
      </c>
      <c r="J91" s="125"/>
      <c r="K91" s="125"/>
      <c r="L91" s="125"/>
      <c r="M91" s="125"/>
      <c r="N91" s="125"/>
      <c r="O91" s="125"/>
      <c r="P91" s="125"/>
      <c r="Q91" s="125"/>
      <c r="R91" s="125"/>
      <c r="S91" s="126"/>
      <c r="T91" s="10"/>
      <c r="U91" s="10"/>
      <c r="V91" s="3"/>
      <c r="W91" s="3"/>
    </row>
    <row r="92" spans="1:23" ht="60" x14ac:dyDescent="0.25">
      <c r="A92">
        <v>87</v>
      </c>
      <c r="B92" s="32" t="s">
        <v>165</v>
      </c>
      <c r="C92" s="32" t="s">
        <v>167</v>
      </c>
      <c r="D92" s="93" t="s">
        <v>400</v>
      </c>
      <c r="E92" s="3" t="s">
        <v>33</v>
      </c>
      <c r="F92" s="3">
        <v>2636041790</v>
      </c>
      <c r="G92" s="77"/>
      <c r="H92" s="76"/>
      <c r="I92" s="76">
        <v>2</v>
      </c>
      <c r="J92" s="125"/>
      <c r="K92" s="125"/>
      <c r="L92" s="125"/>
      <c r="M92" s="125"/>
      <c r="N92" s="125"/>
      <c r="O92" s="125"/>
      <c r="P92" s="125"/>
      <c r="Q92" s="125"/>
      <c r="R92" s="125"/>
      <c r="S92" s="126"/>
      <c r="T92" s="10"/>
      <c r="U92" s="10"/>
      <c r="V92" s="3"/>
      <c r="W92" s="3"/>
    </row>
    <row r="93" spans="1:23" ht="60" x14ac:dyDescent="0.25">
      <c r="A93">
        <v>88</v>
      </c>
      <c r="B93" s="32" t="s">
        <v>401</v>
      </c>
      <c r="C93" s="32" t="s">
        <v>402</v>
      </c>
      <c r="D93" s="31" t="s">
        <v>403</v>
      </c>
      <c r="E93" s="3" t="s">
        <v>33</v>
      </c>
      <c r="F93" s="3">
        <v>2634067584</v>
      </c>
      <c r="G93" s="77"/>
      <c r="H93" s="76"/>
      <c r="I93" s="76">
        <v>3</v>
      </c>
      <c r="J93" s="125"/>
      <c r="K93" s="125"/>
      <c r="L93" s="125"/>
      <c r="M93" s="125"/>
      <c r="N93" s="125"/>
      <c r="O93" s="125"/>
      <c r="P93" s="125"/>
      <c r="Q93" s="125"/>
      <c r="R93" s="125"/>
      <c r="S93" s="126"/>
      <c r="T93" s="10"/>
      <c r="U93" s="10"/>
      <c r="V93" s="3"/>
      <c r="W93" s="3"/>
    </row>
    <row r="94" spans="1:23" ht="45" x14ac:dyDescent="0.25">
      <c r="A94">
        <v>89</v>
      </c>
      <c r="B94" s="32" t="s">
        <v>177</v>
      </c>
      <c r="C94" s="32" t="s">
        <v>405</v>
      </c>
      <c r="D94" s="138" t="s">
        <v>404</v>
      </c>
      <c r="E94" s="3" t="s">
        <v>33</v>
      </c>
      <c r="F94" s="3">
        <v>2633001990</v>
      </c>
      <c r="G94" s="77"/>
      <c r="H94" s="76"/>
      <c r="I94" s="76">
        <v>7</v>
      </c>
      <c r="J94" s="125"/>
      <c r="K94" s="125"/>
      <c r="L94" s="125"/>
      <c r="M94" s="125"/>
      <c r="N94" s="125"/>
      <c r="O94" s="125"/>
      <c r="P94" s="125"/>
      <c r="Q94" s="125"/>
      <c r="R94" s="125"/>
      <c r="S94" s="126"/>
      <c r="T94" s="10"/>
      <c r="U94" s="10"/>
      <c r="V94" s="3"/>
      <c r="W94" s="3"/>
    </row>
    <row r="95" spans="1:23" ht="45" x14ac:dyDescent="0.25">
      <c r="A95">
        <v>90</v>
      </c>
      <c r="B95" s="32" t="s">
        <v>289</v>
      </c>
      <c r="C95" s="32" t="s">
        <v>290</v>
      </c>
      <c r="D95" s="136" t="s">
        <v>406</v>
      </c>
      <c r="E95" s="3" t="s">
        <v>33</v>
      </c>
      <c r="F95" s="3">
        <v>2634049360</v>
      </c>
      <c r="G95" s="77"/>
      <c r="H95" s="76"/>
      <c r="I95" s="76">
        <v>188</v>
      </c>
      <c r="J95" s="125"/>
      <c r="K95" s="125"/>
      <c r="L95" s="125"/>
      <c r="M95" s="125"/>
      <c r="N95" s="125"/>
      <c r="O95" s="125"/>
      <c r="P95" s="125"/>
      <c r="Q95" s="125"/>
      <c r="R95" s="125"/>
      <c r="S95" s="126"/>
      <c r="T95" s="10"/>
      <c r="U95" s="10"/>
      <c r="V95" s="3"/>
      <c r="W95" s="3"/>
    </row>
    <row r="96" spans="1:23" x14ac:dyDescent="0.25">
      <c r="B96" s="438" t="s">
        <v>16</v>
      </c>
      <c r="C96" s="441" t="s">
        <v>90</v>
      </c>
      <c r="D96" s="438" t="s">
        <v>418</v>
      </c>
      <c r="E96" s="444" t="s">
        <v>33</v>
      </c>
      <c r="F96" s="447"/>
      <c r="G96" s="444">
        <v>56</v>
      </c>
      <c r="H96" s="76"/>
      <c r="I96" s="76"/>
      <c r="J96" s="130">
        <v>182</v>
      </c>
      <c r="K96" s="130" t="s">
        <v>417</v>
      </c>
      <c r="L96" s="130">
        <v>137</v>
      </c>
      <c r="M96" s="125"/>
      <c r="N96" s="125"/>
      <c r="O96" s="125"/>
      <c r="P96" s="125"/>
      <c r="Q96" s="125"/>
      <c r="R96" s="125"/>
      <c r="S96" s="126"/>
      <c r="T96" s="10"/>
      <c r="U96" s="10"/>
      <c r="V96" s="3"/>
      <c r="W96" s="3"/>
    </row>
    <row r="97" spans="1:23" x14ac:dyDescent="0.25">
      <c r="B97" s="439"/>
      <c r="C97" s="442"/>
      <c r="D97" s="439"/>
      <c r="E97" s="445"/>
      <c r="F97" s="448"/>
      <c r="G97" s="445"/>
      <c r="H97" s="76"/>
      <c r="I97" s="76"/>
      <c r="J97" s="125"/>
      <c r="K97" s="125"/>
      <c r="L97" s="125"/>
      <c r="M97" s="125"/>
      <c r="N97" s="125"/>
      <c r="O97" s="125"/>
      <c r="P97" s="125"/>
      <c r="Q97" s="125"/>
      <c r="R97" s="125"/>
      <c r="S97" s="126"/>
      <c r="T97" s="10"/>
      <c r="U97" s="10"/>
      <c r="V97" s="3"/>
      <c r="W97" s="3"/>
    </row>
    <row r="98" spans="1:23" ht="29.25" customHeight="1" x14ac:dyDescent="0.25">
      <c r="B98" s="440"/>
      <c r="C98" s="443"/>
      <c r="D98" s="440"/>
      <c r="E98" s="446"/>
      <c r="F98" s="449"/>
      <c r="G98" s="446"/>
      <c r="H98" s="76"/>
      <c r="I98" s="76"/>
      <c r="J98" s="126"/>
      <c r="K98" s="125"/>
      <c r="L98" s="125"/>
      <c r="M98" s="125"/>
      <c r="N98" s="125"/>
      <c r="O98" s="125"/>
      <c r="P98" s="125"/>
      <c r="Q98" s="125"/>
      <c r="R98" s="125"/>
      <c r="S98" s="126"/>
      <c r="T98" s="10"/>
      <c r="U98" s="10"/>
      <c r="V98" s="3"/>
      <c r="W98" s="3"/>
    </row>
    <row r="99" spans="1:23" ht="45" x14ac:dyDescent="0.25">
      <c r="A99">
        <v>91</v>
      </c>
      <c r="B99" s="32" t="s">
        <v>408</v>
      </c>
      <c r="C99" s="32" t="s">
        <v>412</v>
      </c>
      <c r="D99" s="87" t="s">
        <v>411</v>
      </c>
      <c r="E99" s="3" t="s">
        <v>33</v>
      </c>
      <c r="F99" s="3">
        <v>2635083892</v>
      </c>
      <c r="G99" s="77"/>
      <c r="H99" s="76">
        <v>1</v>
      </c>
      <c r="I99" s="76"/>
      <c r="J99" s="126"/>
      <c r="K99" s="125"/>
      <c r="L99" s="125"/>
      <c r="M99" s="125"/>
      <c r="N99" s="125"/>
      <c r="O99" s="125"/>
      <c r="P99" s="125"/>
      <c r="Q99" s="125"/>
      <c r="R99" s="125"/>
      <c r="S99" s="126"/>
      <c r="T99" s="10"/>
      <c r="U99" s="10"/>
      <c r="V99" s="3"/>
      <c r="W99" s="3"/>
    </row>
    <row r="100" spans="1:23" ht="45" x14ac:dyDescent="0.25">
      <c r="A100">
        <v>92</v>
      </c>
      <c r="B100" s="32" t="s">
        <v>410</v>
      </c>
      <c r="C100" s="32" t="s">
        <v>412</v>
      </c>
      <c r="D100" s="87" t="s">
        <v>409</v>
      </c>
      <c r="E100" s="3" t="s">
        <v>33</v>
      </c>
      <c r="F100" s="3">
        <v>2633004976</v>
      </c>
      <c r="G100" s="77"/>
      <c r="H100" s="76">
        <v>3</v>
      </c>
      <c r="I100" s="76"/>
      <c r="J100" s="126"/>
      <c r="K100" s="125"/>
      <c r="L100" s="125"/>
      <c r="M100" s="125"/>
      <c r="N100" s="125"/>
      <c r="O100" s="125"/>
      <c r="P100" s="125"/>
      <c r="Q100" s="125"/>
      <c r="R100" s="125"/>
      <c r="S100" s="126"/>
      <c r="T100" s="10"/>
      <c r="U100" s="10"/>
      <c r="V100" s="3"/>
      <c r="W100" s="3"/>
    </row>
    <row r="101" spans="1:23" ht="60" x14ac:dyDescent="0.25">
      <c r="B101" s="100" t="s">
        <v>419</v>
      </c>
      <c r="C101" s="100" t="s">
        <v>422</v>
      </c>
      <c r="D101" s="31" t="s">
        <v>421</v>
      </c>
      <c r="E101" s="3" t="s">
        <v>33</v>
      </c>
      <c r="F101" s="3">
        <v>2613006870</v>
      </c>
      <c r="G101" s="77"/>
      <c r="H101" s="76"/>
      <c r="I101" s="76">
        <v>11</v>
      </c>
      <c r="J101" s="126"/>
      <c r="K101" s="125"/>
      <c r="L101" s="125"/>
      <c r="M101" s="125"/>
      <c r="N101" s="125"/>
      <c r="O101" s="125"/>
      <c r="P101" s="125"/>
      <c r="Q101" s="125"/>
      <c r="R101" s="125"/>
      <c r="S101" s="126"/>
      <c r="T101" s="10"/>
      <c r="U101" s="10"/>
      <c r="V101" s="3"/>
      <c r="W101" s="3"/>
    </row>
    <row r="102" spans="1:23" x14ac:dyDescent="0.25">
      <c r="B102" s="112"/>
      <c r="C102" s="112"/>
      <c r="D102" s="113"/>
      <c r="E102" s="114"/>
      <c r="F102" s="114"/>
      <c r="G102" s="115"/>
      <c r="H102" s="115"/>
      <c r="I102" s="114"/>
      <c r="J102" s="125"/>
      <c r="K102" s="125"/>
      <c r="L102" s="125"/>
      <c r="M102" s="125"/>
      <c r="N102" s="125"/>
      <c r="O102" s="125"/>
      <c r="P102" s="125"/>
      <c r="Q102" s="125"/>
      <c r="R102" s="125"/>
      <c r="S102" s="126"/>
      <c r="T102" s="10"/>
      <c r="U102" s="10"/>
      <c r="V102" s="3"/>
      <c r="W102" s="3"/>
    </row>
    <row r="103" spans="1:23" ht="60" x14ac:dyDescent="0.25">
      <c r="A103">
        <v>68</v>
      </c>
      <c r="B103" s="22" t="s">
        <v>254</v>
      </c>
      <c r="C103" s="22" t="s">
        <v>255</v>
      </c>
      <c r="D103" s="93" t="s">
        <v>256</v>
      </c>
      <c r="E103" s="3" t="s">
        <v>33</v>
      </c>
      <c r="F103" s="3">
        <v>2615001940</v>
      </c>
      <c r="G103" s="3">
        <v>12</v>
      </c>
      <c r="H103" s="3"/>
      <c r="I103" s="3"/>
      <c r="J103" s="125"/>
      <c r="K103" s="125"/>
      <c r="L103" s="125"/>
      <c r="M103" s="125"/>
      <c r="N103" s="125"/>
      <c r="O103" s="125"/>
      <c r="P103" s="125"/>
      <c r="Q103" s="125"/>
      <c r="R103" s="125"/>
      <c r="S103" s="126"/>
      <c r="T103" s="10"/>
      <c r="U103" s="10"/>
      <c r="V103" s="3"/>
      <c r="W103" s="3"/>
    </row>
    <row r="104" spans="1:23" ht="45" x14ac:dyDescent="0.25">
      <c r="A104">
        <v>13</v>
      </c>
      <c r="B104" s="87" t="s">
        <v>53</v>
      </c>
      <c r="C104" s="87" t="s">
        <v>99</v>
      </c>
      <c r="D104" s="24"/>
      <c r="E104" s="3"/>
      <c r="F104" s="5">
        <v>2633001943</v>
      </c>
      <c r="G104" s="5">
        <v>65</v>
      </c>
      <c r="H104" s="78"/>
      <c r="I104" s="3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0"/>
      <c r="U104" s="10"/>
      <c r="V104" s="10"/>
      <c r="W104" s="3"/>
    </row>
    <row r="105" spans="1:23" x14ac:dyDescent="0.25">
      <c r="A105">
        <v>17</v>
      </c>
      <c r="B105" s="87" t="s">
        <v>49</v>
      </c>
      <c r="C105" s="10"/>
      <c r="D105" s="24"/>
      <c r="E105" s="3"/>
      <c r="F105" s="5">
        <v>2633003556</v>
      </c>
      <c r="G105" s="5">
        <v>38</v>
      </c>
      <c r="H105" s="78"/>
      <c r="I105" s="3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96"/>
      <c r="U105" s="96"/>
      <c r="V105" s="10"/>
      <c r="W105" s="3"/>
    </row>
    <row r="106" spans="1:23" ht="30" x14ac:dyDescent="0.25">
      <c r="A106">
        <v>21</v>
      </c>
      <c r="B106" s="87" t="s">
        <v>67</v>
      </c>
      <c r="C106" s="10"/>
      <c r="D106" s="24"/>
      <c r="E106" s="3"/>
      <c r="F106" s="5">
        <v>2633001943</v>
      </c>
      <c r="G106" s="5">
        <v>16</v>
      </c>
      <c r="H106" s="78"/>
      <c r="I106" s="3"/>
      <c r="J106" s="125"/>
      <c r="K106" s="125"/>
      <c r="L106" s="125"/>
      <c r="M106" s="125"/>
      <c r="N106" s="125"/>
      <c r="O106" s="125"/>
      <c r="P106" s="126"/>
      <c r="Q106" s="126"/>
      <c r="R106" s="126"/>
      <c r="S106" s="126"/>
      <c r="T106" s="10"/>
      <c r="U106" s="10"/>
      <c r="V106" s="3"/>
      <c r="W106" s="3"/>
    </row>
    <row r="107" spans="1:23" ht="60" x14ac:dyDescent="0.25">
      <c r="A107">
        <v>34</v>
      </c>
      <c r="B107" s="22" t="s">
        <v>155</v>
      </c>
      <c r="C107" s="22" t="s">
        <v>156</v>
      </c>
      <c r="D107" s="53" t="s">
        <v>164</v>
      </c>
      <c r="E107" s="3"/>
      <c r="F107" s="3">
        <v>2631016895</v>
      </c>
      <c r="G107" s="98">
        <v>3</v>
      </c>
      <c r="H107" s="3"/>
      <c r="I107" s="3"/>
      <c r="J107" s="125"/>
      <c r="K107" s="125"/>
      <c r="L107" s="125"/>
      <c r="M107" s="125"/>
      <c r="N107" s="125"/>
      <c r="O107" s="125"/>
      <c r="P107" s="125"/>
      <c r="Q107" s="125"/>
      <c r="R107" s="125"/>
      <c r="S107" s="126"/>
      <c r="T107" s="10"/>
      <c r="U107" s="10"/>
      <c r="V107" s="3"/>
      <c r="W107" s="3"/>
    </row>
    <row r="108" spans="1:23" ht="45" x14ac:dyDescent="0.25">
      <c r="A108">
        <v>35</v>
      </c>
      <c r="B108" s="87" t="s">
        <v>144</v>
      </c>
      <c r="C108" s="87" t="s">
        <v>146</v>
      </c>
      <c r="D108" s="53" t="s">
        <v>157</v>
      </c>
      <c r="E108" s="3"/>
      <c r="F108" s="3">
        <v>2633004373</v>
      </c>
      <c r="G108" s="77">
        <v>54</v>
      </c>
      <c r="H108" s="76"/>
      <c r="I108" s="3"/>
      <c r="J108" s="125"/>
      <c r="K108" s="125"/>
      <c r="L108" s="125"/>
      <c r="M108" s="125"/>
      <c r="N108" s="125"/>
      <c r="O108" s="125"/>
      <c r="P108" s="125"/>
      <c r="Q108" s="125"/>
      <c r="R108" s="125"/>
      <c r="S108" s="126"/>
      <c r="T108" s="10"/>
      <c r="U108" s="10"/>
      <c r="V108" s="3"/>
      <c r="W108" s="3"/>
    </row>
    <row r="109" spans="1:23" ht="60" x14ac:dyDescent="0.25">
      <c r="A109">
        <v>36</v>
      </c>
      <c r="B109" s="87" t="s">
        <v>160</v>
      </c>
      <c r="C109" s="87" t="s">
        <v>162</v>
      </c>
      <c r="D109" s="53" t="s">
        <v>161</v>
      </c>
      <c r="E109" s="3"/>
      <c r="F109" s="3">
        <v>2633002873</v>
      </c>
      <c r="G109" s="77">
        <v>17</v>
      </c>
      <c r="H109" s="76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97"/>
      <c r="T109" s="97"/>
      <c r="U109" s="97"/>
      <c r="V109" s="3"/>
      <c r="W109" s="3"/>
    </row>
    <row r="110" spans="1:23" ht="30" x14ac:dyDescent="0.25">
      <c r="A110">
        <v>42</v>
      </c>
      <c r="B110" s="87" t="s">
        <v>177</v>
      </c>
      <c r="C110" s="87" t="s">
        <v>178</v>
      </c>
      <c r="D110" s="53" t="s">
        <v>179</v>
      </c>
      <c r="E110" s="3"/>
      <c r="F110" s="3">
        <v>2633001990</v>
      </c>
      <c r="G110" s="91">
        <v>6</v>
      </c>
      <c r="H110" s="76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10"/>
      <c r="T110" s="10"/>
      <c r="U110" s="10"/>
      <c r="V110" s="3"/>
      <c r="W110" s="3"/>
    </row>
    <row r="111" spans="1:23" ht="75" x14ac:dyDescent="0.25">
      <c r="A111">
        <v>44</v>
      </c>
      <c r="B111" s="87" t="s">
        <v>182</v>
      </c>
      <c r="C111" s="87" t="s">
        <v>187</v>
      </c>
      <c r="D111" s="53" t="s">
        <v>183</v>
      </c>
      <c r="E111" s="3"/>
      <c r="F111" s="3">
        <v>2635070950</v>
      </c>
      <c r="G111" s="77">
        <v>13</v>
      </c>
      <c r="H111" s="76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10"/>
      <c r="T111" s="10"/>
      <c r="U111" s="10"/>
      <c r="V111" s="3"/>
      <c r="W111" s="3"/>
    </row>
    <row r="112" spans="1:23" ht="60" x14ac:dyDescent="0.25">
      <c r="A112">
        <v>52</v>
      </c>
      <c r="B112" s="87" t="s">
        <v>206</v>
      </c>
      <c r="C112" s="87" t="s">
        <v>208</v>
      </c>
      <c r="D112" s="53" t="s">
        <v>207</v>
      </c>
      <c r="E112" s="3"/>
      <c r="F112" s="3">
        <v>910003300</v>
      </c>
      <c r="G112" s="77">
        <v>29</v>
      </c>
      <c r="H112" s="76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10"/>
      <c r="T112" s="10"/>
      <c r="U112" s="10"/>
      <c r="V112" s="3"/>
      <c r="W112" s="3"/>
    </row>
    <row r="113" spans="1:23" ht="45" x14ac:dyDescent="0.25">
      <c r="A113">
        <v>53</v>
      </c>
      <c r="B113" s="87" t="s">
        <v>209</v>
      </c>
      <c r="C113" s="87" t="s">
        <v>210</v>
      </c>
      <c r="D113" s="93" t="s">
        <v>211</v>
      </c>
      <c r="E113" s="3"/>
      <c r="F113" s="3">
        <v>2633005289</v>
      </c>
      <c r="G113" s="77">
        <v>14</v>
      </c>
      <c r="H113" s="76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10"/>
      <c r="T113" s="10"/>
      <c r="U113" s="10"/>
      <c r="V113" s="3"/>
      <c r="W113" s="3"/>
    </row>
    <row r="114" spans="1:23" ht="75" x14ac:dyDescent="0.25">
      <c r="A114">
        <v>56</v>
      </c>
      <c r="B114" s="87" t="s">
        <v>218</v>
      </c>
      <c r="C114" s="87" t="s">
        <v>219</v>
      </c>
      <c r="D114" s="53" t="s">
        <v>220</v>
      </c>
      <c r="E114" s="3" t="s">
        <v>33</v>
      </c>
      <c r="F114" s="3">
        <v>2624028635</v>
      </c>
      <c r="G114" s="77">
        <v>33</v>
      </c>
      <c r="H114" s="76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10"/>
      <c r="T114" s="10"/>
      <c r="U114" s="10"/>
      <c r="V114" s="3"/>
      <c r="W114" s="3"/>
    </row>
    <row r="115" spans="1:23" ht="75" x14ac:dyDescent="0.25">
      <c r="A115">
        <v>58</v>
      </c>
      <c r="B115" s="87" t="s">
        <v>224</v>
      </c>
      <c r="C115" s="87" t="s">
        <v>225</v>
      </c>
      <c r="D115" s="93" t="s">
        <v>226</v>
      </c>
      <c r="E115" s="3"/>
      <c r="F115" s="3">
        <v>2633001950</v>
      </c>
      <c r="G115" s="77">
        <v>17</v>
      </c>
      <c r="H115" s="76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10"/>
      <c r="T115" s="10"/>
      <c r="U115" s="10"/>
      <c r="V115" s="3"/>
      <c r="W115" s="3"/>
    </row>
    <row r="116" spans="1:23" ht="45" x14ac:dyDescent="0.25">
      <c r="A116">
        <v>59</v>
      </c>
      <c r="B116" s="87" t="s">
        <v>227</v>
      </c>
      <c r="C116" s="87" t="s">
        <v>228</v>
      </c>
      <c r="D116" s="93" t="s">
        <v>229</v>
      </c>
      <c r="E116" s="3"/>
      <c r="F116" s="3">
        <v>2633001686</v>
      </c>
      <c r="G116" s="77">
        <v>21</v>
      </c>
      <c r="H116" s="76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0"/>
      <c r="T116" s="10"/>
      <c r="U116" s="10"/>
      <c r="V116" s="3"/>
      <c r="W116" s="3"/>
    </row>
    <row r="117" spans="1:23" ht="60" x14ac:dyDescent="0.25">
      <c r="A117">
        <v>63</v>
      </c>
      <c r="B117" s="22" t="s">
        <v>239</v>
      </c>
      <c r="C117" s="22" t="s">
        <v>241</v>
      </c>
      <c r="D117" s="93" t="s">
        <v>240</v>
      </c>
      <c r="E117" s="3"/>
      <c r="F117" s="3">
        <v>2620001350</v>
      </c>
      <c r="G117" s="3">
        <v>4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10"/>
      <c r="T117" s="10"/>
      <c r="U117" s="10"/>
      <c r="V117" s="3"/>
      <c r="W117" s="3"/>
    </row>
    <row r="118" spans="1:23" ht="60" x14ac:dyDescent="0.25">
      <c r="A118">
        <v>64</v>
      </c>
      <c r="B118" s="22" t="s">
        <v>243</v>
      </c>
      <c r="C118" s="22" t="s">
        <v>246</v>
      </c>
      <c r="D118" s="93" t="s">
        <v>242</v>
      </c>
      <c r="E118" s="3"/>
      <c r="F118" s="3">
        <v>2633001140</v>
      </c>
      <c r="G118" s="3">
        <v>5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10"/>
      <c r="T118" s="10"/>
      <c r="U118" s="10"/>
      <c r="V118" s="3"/>
      <c r="W118" s="3"/>
    </row>
    <row r="119" spans="1:23" ht="75" x14ac:dyDescent="0.25">
      <c r="A119">
        <v>65</v>
      </c>
      <c r="B119" s="22" t="s">
        <v>244</v>
      </c>
      <c r="C119" s="22" t="s">
        <v>245</v>
      </c>
      <c r="D119" s="93" t="s">
        <v>247</v>
      </c>
      <c r="E119" s="3"/>
      <c r="F119" s="3">
        <v>2634051753</v>
      </c>
      <c r="G119" s="3">
        <v>6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10"/>
      <c r="T119" s="10"/>
      <c r="U119" s="10"/>
      <c r="V119" s="3"/>
      <c r="W119" s="3"/>
    </row>
    <row r="120" spans="1:23" ht="60" x14ac:dyDescent="0.25">
      <c r="A120">
        <v>16</v>
      </c>
      <c r="B120" s="90" t="s">
        <v>48</v>
      </c>
      <c r="C120" s="90" t="s">
        <v>102</v>
      </c>
      <c r="D120" s="24"/>
      <c r="E120" s="3"/>
      <c r="F120" s="5">
        <v>9103001267</v>
      </c>
      <c r="G120" s="5"/>
      <c r="H120" s="78"/>
      <c r="I120" s="3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3"/>
    </row>
    <row r="121" spans="1:23" ht="75" x14ac:dyDescent="0.25">
      <c r="A121">
        <v>3</v>
      </c>
      <c r="B121" s="90" t="s">
        <v>8</v>
      </c>
      <c r="C121" s="87" t="s">
        <v>85</v>
      </c>
      <c r="D121" s="3"/>
      <c r="E121" s="3"/>
      <c r="F121" s="3"/>
      <c r="G121" s="3"/>
      <c r="H121" s="77"/>
      <c r="I121" s="3"/>
      <c r="J121" s="10"/>
      <c r="K121" s="10"/>
      <c r="L121" s="10"/>
      <c r="M121" s="10"/>
      <c r="N121" s="10"/>
      <c r="O121" s="10"/>
      <c r="P121" s="10"/>
      <c r="Q121" s="10"/>
      <c r="R121" s="95"/>
      <c r="S121" s="10"/>
      <c r="T121" s="10"/>
      <c r="U121" s="10"/>
      <c r="V121" s="3"/>
      <c r="W121" s="3"/>
    </row>
    <row r="122" spans="1:23" x14ac:dyDescent="0.25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x14ac:dyDescent="0.25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x14ac:dyDescent="0.25">
      <c r="B124" s="3"/>
      <c r="C124" s="3"/>
      <c r="D124" s="3"/>
      <c r="E124" s="3"/>
      <c r="F124" s="3"/>
      <c r="G124" s="3">
        <f>SUM(G1:G123)</f>
        <v>411</v>
      </c>
      <c r="H124" s="76">
        <f>SUM(H1:H123)</f>
        <v>355</v>
      </c>
      <c r="I124" s="76">
        <f>SUM(I1:I123)</f>
        <v>311</v>
      </c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x14ac:dyDescent="0.25">
      <c r="H125">
        <v>1</v>
      </c>
    </row>
    <row r="127" spans="1:23" x14ac:dyDescent="0.25">
      <c r="A127" s="9"/>
      <c r="B127" t="s">
        <v>55</v>
      </c>
    </row>
    <row r="128" spans="1:23" x14ac:dyDescent="0.25">
      <c r="A128" s="7"/>
      <c r="B128" t="s">
        <v>56</v>
      </c>
    </row>
    <row r="129" spans="1:8" x14ac:dyDescent="0.25">
      <c r="A129" s="11"/>
      <c r="B129" t="s">
        <v>57</v>
      </c>
      <c r="H129" s="61"/>
    </row>
  </sheetData>
  <mergeCells count="24">
    <mergeCell ref="G17:G19"/>
    <mergeCell ref="H17:H19"/>
    <mergeCell ref="I17:I19"/>
    <mergeCell ref="A84:A86"/>
    <mergeCell ref="B84:B86"/>
    <mergeCell ref="C84:C86"/>
    <mergeCell ref="D84:D86"/>
    <mergeCell ref="E84:E86"/>
    <mergeCell ref="F84:F86"/>
    <mergeCell ref="G84:G86"/>
    <mergeCell ref="A17:A19"/>
    <mergeCell ref="B17:B19"/>
    <mergeCell ref="C17:C19"/>
    <mergeCell ref="D17:D19"/>
    <mergeCell ref="E17:E19"/>
    <mergeCell ref="F17:F19"/>
    <mergeCell ref="H84:H86"/>
    <mergeCell ref="I84:I86"/>
    <mergeCell ref="B96:B98"/>
    <mergeCell ref="C96:C98"/>
    <mergeCell ref="D96:D98"/>
    <mergeCell ref="E96:E98"/>
    <mergeCell ref="F96:F98"/>
    <mergeCell ref="G96:G98"/>
  </mergeCells>
  <pageMargins left="0.7" right="0.7" top="0.75" bottom="0.75" header="0.3" footer="0.3"/>
  <pageSetup paperSize="9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действующие 2018</vt:lpstr>
      <vt:lpstr>действующие 2019</vt:lpstr>
      <vt:lpstr>действующие 2020</vt:lpstr>
      <vt:lpstr>действующие 2021</vt:lpstr>
      <vt:lpstr>архив</vt:lpstr>
      <vt:lpstr>все</vt:lpstr>
      <vt:lpstr>Шаблон</vt:lpstr>
      <vt:lpstr>'действующие 2019'!Область_печати</vt:lpstr>
      <vt:lpstr>'действующие 2020'!Область_печати</vt:lpstr>
      <vt:lpstr>'действующие 2021'!Область_печати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2020-11-27T06:51:24Z</dcterms:modified>
</cp:coreProperties>
</file>